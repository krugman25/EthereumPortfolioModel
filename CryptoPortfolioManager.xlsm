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ugm\Desktop\"/>
    </mc:Choice>
  </mc:AlternateContent>
  <xr:revisionPtr revIDLastSave="0" documentId="13_ncr:1_{2371650A-708B-4776-BBA8-872E990F6734}" xr6:coauthVersionLast="47" xr6:coauthVersionMax="47" xr10:uidLastSave="{00000000-0000-0000-0000-000000000000}"/>
  <bookViews>
    <workbookView xWindow="-110" yWindow="-110" windowWidth="38620" windowHeight="21220" xr2:uid="{AC7F7168-EA68-4E10-ADB5-66B98305ED10}"/>
  </bookViews>
  <sheets>
    <sheet name="AppSettings" sheetId="145" r:id="rId1"/>
    <sheet name="Portfolio" sheetId="1" r:id="rId2"/>
    <sheet name="SymbolData" sheetId="6" state="hidden" r:id="rId3"/>
    <sheet name="ETH" sheetId="264" state="hidden" r:id="rId4"/>
    <sheet name="WBTC" sheetId="265" state="hidden" r:id="rId5"/>
    <sheet name="USDC" sheetId="266" state="hidden" r:id="rId6"/>
    <sheet name="DPI" sheetId="267" state="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N14" i="1"/>
  <c r="O14" i="1" s="1"/>
  <c r="N15" i="1"/>
  <c r="N16" i="1"/>
  <c r="M11" i="1"/>
  <c r="M10" i="1"/>
  <c r="C7" i="1" s="1"/>
  <c r="M15" i="1"/>
  <c r="L15" i="1"/>
  <c r="O16" i="1" l="1"/>
  <c r="O15" i="1"/>
  <c r="M8" i="1"/>
  <c r="C6" i="1" s="1"/>
  <c r="M16" i="1"/>
  <c r="L16" i="1"/>
  <c r="M9" i="1" l="1"/>
  <c r="C5" i="1" s="1"/>
  <c r="G5" i="1"/>
  <c r="M14" i="1"/>
  <c r="M7" i="1" s="1"/>
  <c r="L14" i="1"/>
  <c r="M6" i="1" s="1"/>
  <c r="C3" i="1" s="1"/>
  <c r="G12" i="1"/>
  <c r="F12" i="1"/>
  <c r="C4" i="1" l="1"/>
  <c r="Q15" i="1"/>
  <c r="Q14" i="1"/>
  <c r="Q16" i="1"/>
  <c r="G6" i="1"/>
  <c r="G9" i="1"/>
  <c r="G8" i="1"/>
  <c r="G7" i="1"/>
</calcChain>
</file>

<file path=xl/sharedStrings.xml><?xml version="1.0" encoding="utf-8"?>
<sst xmlns="http://schemas.openxmlformats.org/spreadsheetml/2006/main" count="98" uniqueCount="44">
  <si>
    <t>Name</t>
  </si>
  <si>
    <t>Beta</t>
  </si>
  <si>
    <t>Symbol</t>
  </si>
  <si>
    <t>ETH</t>
  </si>
  <si>
    <t>DPI</t>
  </si>
  <si>
    <t>Date</t>
  </si>
  <si>
    <t>Open</t>
  </si>
  <si>
    <t>High</t>
  </si>
  <si>
    <t>Low</t>
  </si>
  <si>
    <t>Close</t>
  </si>
  <si>
    <t>% Change</t>
  </si>
  <si>
    <t>Components</t>
  </si>
  <si>
    <t>Beta wAvg</t>
  </si>
  <si>
    <t>Corr. wAvg</t>
  </si>
  <si>
    <t>Benchmark Asset</t>
  </si>
  <si>
    <t>Calculation Period</t>
  </si>
  <si>
    <t>Total Alloc.</t>
  </si>
  <si>
    <t>Yield</t>
  </si>
  <si>
    <t>Yield (APY)</t>
  </si>
  <si>
    <t>Portfolio</t>
  </si>
  <si>
    <t>Corr.</t>
  </si>
  <si>
    <t>Portfolio Beta Limit</t>
  </si>
  <si>
    <t>Portfolio Corr. Limit</t>
  </si>
  <si>
    <t>Portfolio Size</t>
  </si>
  <si>
    <t>Portfolio Alloc. %</t>
  </si>
  <si>
    <t>Portfolio Alloc. $</t>
  </si>
  <si>
    <t>Alloc.</t>
  </si>
  <si>
    <t>Portfolio Yield Target</t>
  </si>
  <si>
    <t>Symbols</t>
  </si>
  <si>
    <t>Benchmark % Change</t>
  </si>
  <si>
    <t>USDC</t>
  </si>
  <si>
    <t>Stablecoin</t>
  </si>
  <si>
    <t>Utc Offset</t>
  </si>
  <si>
    <t>Last Update</t>
  </si>
  <si>
    <t>WBTC</t>
  </si>
  <si>
    <t>Yam Treasury</t>
  </si>
  <si>
    <t>Mo. Std Dev % wAvg</t>
  </si>
  <si>
    <t>Std Dev Ratio</t>
  </si>
  <si>
    <t>Mo. Std Dev %</t>
  </si>
  <si>
    <t>% Alloc</t>
  </si>
  <si>
    <t>$ Alloc</t>
  </si>
  <si>
    <t>Mo. Std Dev</t>
  </si>
  <si>
    <t>Portfolio Std Dev Ratio Target</t>
  </si>
  <si>
    <t>Portfolio Risk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</si>
</sst>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m/dd/yyyy"/>
    <numFmt numFmtId="165" formatCode="&quot;$&quot;#,##0.00"/>
    <numFmt numFmtId="166" formatCode="&quot;$&quot;#,##0"/>
    <numFmt numFmtId="170" formatCode="_(&quot;$&quot;* #,##0_);_(&quot;$&quot;* \(#,##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8">
    <xf numFmtId="0" fontId="0" fillId="0" borderId="0" xfId="0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3" borderId="2" xfId="0" applyFill="1" applyBorder="1"/>
    <xf numFmtId="0" fontId="0" fillId="2" borderId="2" xfId="0" applyFill="1" applyBorder="1"/>
    <xf numFmtId="9" fontId="0" fillId="0" borderId="0" xfId="1" applyFont="1" applyAlignment="1">
      <alignment horizontal="left"/>
    </xf>
    <xf numFmtId="0" fontId="4" fillId="0" borderId="0" xfId="0" applyFont="1"/>
    <xf numFmtId="166" fontId="0" fillId="0" borderId="0" xfId="2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6" fillId="0" borderId="0" xfId="0" applyFont="1"/>
    <xf numFmtId="0" fontId="2" fillId="0" borderId="9" xfId="0" applyFont="1" applyBorder="1"/>
    <xf numFmtId="0" fontId="2" fillId="0" borderId="11" xfId="0" applyFont="1" applyBorder="1"/>
    <xf numFmtId="9" fontId="0" fillId="0" borderId="12" xfId="1" applyFont="1" applyBorder="1"/>
    <xf numFmtId="0" fontId="0" fillId="0" borderId="15" xfId="0" applyBorder="1"/>
    <xf numFmtId="2" fontId="0" fillId="0" borderId="16" xfId="0" applyNumberFormat="1" applyBorder="1"/>
    <xf numFmtId="10" fontId="0" fillId="0" borderId="16" xfId="1" applyNumberFormat="1" applyFont="1" applyBorder="1"/>
    <xf numFmtId="9" fontId="0" fillId="0" borderId="17" xfId="1" applyFont="1" applyBorder="1"/>
    <xf numFmtId="0" fontId="0" fillId="0" borderId="11" xfId="0" applyBorder="1"/>
    <xf numFmtId="2" fontId="0" fillId="0" borderId="19" xfId="0" applyNumberFormat="1" applyBorder="1"/>
    <xf numFmtId="10" fontId="0" fillId="0" borderId="19" xfId="1" applyNumberFormat="1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2" fontId="0" fillId="0" borderId="10" xfId="0" applyNumberFormat="1" applyBorder="1" applyAlignment="1">
      <alignment horizontal="left"/>
    </xf>
    <xf numFmtId="2" fontId="0" fillId="0" borderId="12" xfId="0" applyNumberFormat="1" applyBorder="1" applyAlignment="1">
      <alignment horizontal="left"/>
    </xf>
    <xf numFmtId="9" fontId="0" fillId="0" borderId="12" xfId="1" applyFont="1" applyBorder="1" applyAlignment="1">
      <alignment horizontal="left"/>
    </xf>
    <xf numFmtId="10" fontId="0" fillId="0" borderId="12" xfId="0" applyNumberFormat="1" applyBorder="1" applyAlignment="1">
      <alignment horizontal="left"/>
    </xf>
    <xf numFmtId="0" fontId="2" fillId="0" borderId="13" xfId="0" applyFont="1" applyFill="1" applyBorder="1"/>
    <xf numFmtId="14" fontId="0" fillId="0" borderId="14" xfId="0" applyNumberFormat="1" applyBorder="1" applyAlignment="1">
      <alignment horizontal="left"/>
    </xf>
    <xf numFmtId="9" fontId="0" fillId="0" borderId="0" xfId="1" applyFont="1"/>
    <xf numFmtId="0" fontId="0" fillId="0" borderId="9" xfId="0" applyBorder="1"/>
    <xf numFmtId="2" fontId="0" fillId="0" borderId="25" xfId="0" applyNumberFormat="1" applyBorder="1"/>
    <xf numFmtId="10" fontId="0" fillId="0" borderId="25" xfId="1" applyNumberFormat="1" applyFont="1" applyBorder="1"/>
    <xf numFmtId="9" fontId="0" fillId="0" borderId="10" xfId="1" applyFont="1" applyBorder="1"/>
    <xf numFmtId="0" fontId="0" fillId="0" borderId="20" xfId="0" applyBorder="1"/>
    <xf numFmtId="2" fontId="0" fillId="0" borderId="21" xfId="0" applyNumberFormat="1" applyBorder="1"/>
    <xf numFmtId="10" fontId="0" fillId="0" borderId="21" xfId="1" applyNumberFormat="1" applyFont="1" applyBorder="1"/>
    <xf numFmtId="9" fontId="0" fillId="0" borderId="22" xfId="1" applyFont="1" applyBorder="1"/>
    <xf numFmtId="0" fontId="2" fillId="3" borderId="1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2" fontId="0" fillId="3" borderId="0" xfId="0" applyNumberFormat="1" applyFill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10" fontId="0" fillId="2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2" fontId="0" fillId="3" borderId="0" xfId="0" applyNumberFormat="1" applyFill="1" applyBorder="1" applyAlignment="1">
      <alignment horizontal="left"/>
    </xf>
    <xf numFmtId="10" fontId="0" fillId="3" borderId="0" xfId="0" applyNumberForma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0" fillId="2" borderId="23" xfId="0" applyFill="1" applyBorder="1" applyAlignment="1">
      <alignment horizontal="left"/>
    </xf>
    <xf numFmtId="0" fontId="0" fillId="2" borderId="24" xfId="0" applyFill="1" applyBorder="1" applyAlignment="1">
      <alignment horizontal="left"/>
    </xf>
    <xf numFmtId="0" fontId="3" fillId="0" borderId="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13" xfId="0" applyBorder="1" applyAlignment="1">
      <alignment wrapText="1"/>
    </xf>
    <xf numFmtId="2" fontId="0" fillId="0" borderId="18" xfId="0" applyNumberFormat="1" applyBorder="1" applyAlignment="1">
      <alignment wrapText="1"/>
    </xf>
    <xf numFmtId="10" fontId="0" fillId="0" borderId="18" xfId="1" applyNumberFormat="1" applyFont="1" applyBorder="1" applyAlignment="1">
      <alignment wrapText="1"/>
    </xf>
    <xf numFmtId="9" fontId="0" fillId="0" borderId="14" xfId="1" applyFont="1" applyBorder="1" applyAlignment="1">
      <alignment wrapText="1"/>
    </xf>
    <xf numFmtId="0" fontId="2" fillId="0" borderId="20" xfId="0" applyFont="1" applyBorder="1" applyAlignment="1">
      <alignment wrapText="1"/>
    </xf>
    <xf numFmtId="0" fontId="2" fillId="0" borderId="21" xfId="0" applyFont="1" applyBorder="1" applyAlignment="1">
      <alignment wrapText="1"/>
    </xf>
    <xf numFmtId="0" fontId="2" fillId="0" borderId="22" xfId="0" applyFont="1" applyBorder="1" applyAlignment="1">
      <alignment wrapText="1"/>
    </xf>
    <xf numFmtId="170" fontId="0" fillId="0" borderId="25" xfId="2" applyNumberFormat="1" applyFont="1" applyBorder="1"/>
    <xf numFmtId="170" fontId="0" fillId="0" borderId="19" xfId="2" applyNumberFormat="1" applyFont="1" applyBorder="1"/>
    <xf numFmtId="170" fontId="0" fillId="0" borderId="21" xfId="2" applyNumberFormat="1" applyFont="1" applyBorder="1"/>
    <xf numFmtId="10" fontId="0" fillId="0" borderId="0" xfId="1" applyNumberFormat="1" applyFont="1"/>
    <xf numFmtId="10" fontId="2" fillId="0" borderId="0" xfId="1" applyNumberFormat="1" applyFont="1"/>
    <xf numFmtId="1" fontId="0" fillId="0" borderId="0" xfId="2" applyNumberFormat="1" applyFont="1" applyAlignment="1">
      <alignment horizontal="left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9999"/>
      <color rgb="FF90EE9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82550</xdr:colOff>
          <xdr:row>18</xdr:row>
          <xdr:rowOff>127000</xdr:rowOff>
        </xdr:from>
        <xdr:to>
          <xdr:col>9</xdr:col>
          <xdr:colOff>95250</xdr:colOff>
          <xdr:row>22</xdr:row>
          <xdr:rowOff>6350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Portfolio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 press ctrl+shift+Z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962CF-3ADD-48C7-8496-E8CD41113D1F}">
  <sheetPr codeName="Sheet2">
    <tabColor theme="0" tint="-0.14999847407452621"/>
  </sheetPr>
  <dimension ref="A1:D18"/>
  <sheetViews>
    <sheetView tabSelected="1" workbookViewId="0">
      <selection activeCell="E16" sqref="E16"/>
    </sheetView>
  </sheetViews>
  <sheetFormatPr defaultRowHeight="14.5" x14ac:dyDescent="0.35"/>
  <cols>
    <col min="1" max="1" width="26.81640625" customWidth="1"/>
    <col min="2" max="2" width="12" style="6" customWidth="1"/>
    <col min="3" max="3" width="3.36328125" customWidth="1"/>
    <col min="4" max="4" width="12.7265625" customWidth="1"/>
  </cols>
  <sheetData>
    <row r="1" spans="1:4" x14ac:dyDescent="0.35">
      <c r="A1" s="1" t="s">
        <v>32</v>
      </c>
      <c r="B1" s="6">
        <v>6</v>
      </c>
      <c r="D1" s="1" t="s">
        <v>28</v>
      </c>
    </row>
    <row r="2" spans="1:4" x14ac:dyDescent="0.35">
      <c r="A2" s="1" t="s">
        <v>14</v>
      </c>
      <c r="B2" s="6" t="s">
        <v>3</v>
      </c>
      <c r="D2" t="s">
        <v>3</v>
      </c>
    </row>
    <row r="3" spans="1:4" x14ac:dyDescent="0.35">
      <c r="A3" s="1" t="s">
        <v>15</v>
      </c>
      <c r="B3" s="7">
        <v>60</v>
      </c>
      <c r="D3" t="s">
        <v>34</v>
      </c>
    </row>
    <row r="4" spans="1:4" x14ac:dyDescent="0.35">
      <c r="A4" s="1" t="s">
        <v>23</v>
      </c>
      <c r="B4" s="12">
        <v>10000000</v>
      </c>
      <c r="D4" t="s">
        <v>30</v>
      </c>
    </row>
    <row r="5" spans="1:4" x14ac:dyDescent="0.35">
      <c r="A5" s="1" t="s">
        <v>43</v>
      </c>
      <c r="B5" s="77">
        <v>3</v>
      </c>
      <c r="D5" t="s">
        <v>4</v>
      </c>
    </row>
    <row r="6" spans="1:4" x14ac:dyDescent="0.35">
      <c r="A6" s="1" t="s">
        <v>21</v>
      </c>
      <c r="B6" s="6">
        <v>0.7</v>
      </c>
    </row>
    <row r="7" spans="1:4" x14ac:dyDescent="0.35">
      <c r="A7" s="1" t="s">
        <v>22</v>
      </c>
      <c r="B7" s="6">
        <v>0.6</v>
      </c>
    </row>
    <row r="8" spans="1:4" x14ac:dyDescent="0.35">
      <c r="A8" s="1" t="s">
        <v>42</v>
      </c>
      <c r="B8" s="6">
        <v>1</v>
      </c>
    </row>
    <row r="9" spans="1:4" x14ac:dyDescent="0.35">
      <c r="A9" s="1" t="s">
        <v>27</v>
      </c>
      <c r="B9" s="10">
        <v>0</v>
      </c>
    </row>
    <row r="10" spans="1:4" x14ac:dyDescent="0.35">
      <c r="A10" s="1"/>
    </row>
    <row r="11" spans="1:4" x14ac:dyDescent="0.35">
      <c r="A11" s="1"/>
    </row>
    <row r="12" spans="1:4" x14ac:dyDescent="0.35">
      <c r="A12" s="1"/>
    </row>
    <row r="13" spans="1:4" x14ac:dyDescent="0.35">
      <c r="A13" s="1"/>
    </row>
    <row r="14" spans="1:4" x14ac:dyDescent="0.35">
      <c r="A14" s="1"/>
    </row>
    <row r="15" spans="1:4" x14ac:dyDescent="0.35">
      <c r="A15" s="1"/>
    </row>
    <row r="16" spans="1:4" x14ac:dyDescent="0.35">
      <c r="A16" s="1"/>
    </row>
    <row r="17" spans="1:1" x14ac:dyDescent="0.35">
      <c r="A17" s="1"/>
    </row>
    <row r="18" spans="1:1" x14ac:dyDescent="0.35">
      <c r="A18" s="1"/>
    </row>
  </sheetData>
  <dataConsolidate/>
  <dataValidations count="2">
    <dataValidation type="whole" allowBlank="1" showInputMessage="1" showErrorMessage="1" errorTitle="Out of Range" error="Value is outside of range (30 - 120) or not a whole number" prompt="Input whole number between 30 and 120" sqref="B3" xr:uid="{2EAEE404-9885-4414-8756-C0CCA1A7A1E6}">
      <formula1>30</formula1>
      <formula2>120</formula2>
    </dataValidation>
    <dataValidation type="list" allowBlank="1" showInputMessage="1" showErrorMessage="1" sqref="B2" xr:uid="{66B989D5-7276-4AB4-A713-E457F6A37544}">
      <formula1>$D$2:$D$96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6092-657F-4A72-9A61-EBBE4E7C1B16}">
  <sheetPr codeName="Sheet1">
    <tabColor theme="4" tint="0.59999389629810485"/>
  </sheetPr>
  <dimension ref="A1:AA32"/>
  <sheetViews>
    <sheetView showGridLines="0" zoomScale="108" zoomScaleNormal="100" workbookViewId="0">
      <selection activeCell="AE42" sqref="AE42"/>
    </sheetView>
  </sheetViews>
  <sheetFormatPr defaultRowHeight="14.5" x14ac:dyDescent="0.35"/>
  <cols>
    <col min="2" max="2" width="13.453125" customWidth="1"/>
    <col min="3" max="3" width="12" customWidth="1"/>
    <col min="4" max="4" width="0" hidden="1" customWidth="1"/>
    <col min="5" max="5" width="9.90625" hidden="1" customWidth="1"/>
    <col min="6" max="6" width="6.453125" hidden="1" customWidth="1"/>
    <col min="7" max="7" width="6.54296875" hidden="1" customWidth="1"/>
    <col min="8" max="8" width="9.81640625" hidden="1" customWidth="1"/>
    <col min="9" max="9" width="5.6328125" hidden="1" customWidth="1"/>
    <col min="11" max="11" width="14.1796875" customWidth="1"/>
    <col min="12" max="12" width="6.54296875" customWidth="1"/>
    <col min="13" max="13" width="7.54296875" customWidth="1"/>
    <col min="14" max="14" width="8.1796875" customWidth="1"/>
    <col min="15" max="15" width="7.6328125" customWidth="1"/>
    <col min="16" max="16" width="9" customWidth="1"/>
    <col min="17" max="17" width="12.81640625" customWidth="1"/>
    <col min="18" max="18" width="5.1796875" customWidth="1"/>
  </cols>
  <sheetData>
    <row r="1" spans="1:18" ht="15" thickBot="1" x14ac:dyDescent="0.4">
      <c r="A1" s="2"/>
      <c r="B1" s="2"/>
      <c r="C1" s="2"/>
    </row>
    <row r="2" spans="1:18" ht="19" thickBot="1" x14ac:dyDescent="0.5">
      <c r="B2" s="59" t="s">
        <v>19</v>
      </c>
      <c r="C2" s="60"/>
      <c r="D2" s="11"/>
      <c r="E2" s="54" t="s">
        <v>31</v>
      </c>
      <c r="F2" s="55"/>
      <c r="G2" s="55"/>
      <c r="H2" s="55"/>
      <c r="I2" s="56"/>
      <c r="J2" s="11"/>
      <c r="K2" s="54" t="s">
        <v>35</v>
      </c>
      <c r="L2" s="55"/>
      <c r="M2" s="55"/>
      <c r="N2" s="55"/>
      <c r="O2" s="55"/>
      <c r="P2" s="55"/>
      <c r="Q2" s="55"/>
      <c r="R2" s="56"/>
    </row>
    <row r="3" spans="1:18" x14ac:dyDescent="0.35">
      <c r="B3" s="15" t="s">
        <v>1</v>
      </c>
      <c r="C3" s="28">
        <f>M6</f>
        <v>0.71810501006419025</v>
      </c>
      <c r="E3" s="52" t="s">
        <v>0</v>
      </c>
      <c r="F3" s="53"/>
      <c r="G3" s="57" t="s">
        <v>31</v>
      </c>
      <c r="H3" s="57"/>
      <c r="I3" s="58"/>
      <c r="K3" s="52" t="s">
        <v>0</v>
      </c>
      <c r="L3" s="53"/>
      <c r="M3" s="57" t="s">
        <v>35</v>
      </c>
      <c r="N3" s="57"/>
      <c r="O3" s="57"/>
      <c r="P3" s="57"/>
      <c r="Q3" s="57"/>
      <c r="R3" s="58"/>
    </row>
    <row r="4" spans="1:18" x14ac:dyDescent="0.35">
      <c r="B4" s="16" t="s">
        <v>20</v>
      </c>
      <c r="C4" s="29">
        <f>M7</f>
        <v>0.58572404570337611</v>
      </c>
      <c r="E4" s="52" t="s">
        <v>24</v>
      </c>
      <c r="F4" s="53"/>
      <c r="G4" s="48">
        <v>0</v>
      </c>
      <c r="H4" s="48"/>
      <c r="I4" s="9"/>
      <c r="K4" s="52" t="s">
        <v>24</v>
      </c>
      <c r="L4" s="53"/>
      <c r="M4" s="48">
        <v>1</v>
      </c>
      <c r="N4" s="48"/>
      <c r="O4" s="48"/>
      <c r="P4" s="48"/>
      <c r="Q4" s="48"/>
      <c r="R4" s="9"/>
    </row>
    <row r="5" spans="1:18" x14ac:dyDescent="0.35">
      <c r="B5" s="16" t="s">
        <v>37</v>
      </c>
      <c r="C5" s="29">
        <f>M9</f>
        <v>0.8415887311612078</v>
      </c>
      <c r="E5" s="46" t="s">
        <v>25</v>
      </c>
      <c r="F5" s="47"/>
      <c r="G5" s="49">
        <f>G4*AppSettings!B4</f>
        <v>0</v>
      </c>
      <c r="H5" s="49"/>
      <c r="I5" s="8"/>
      <c r="K5" s="46" t="s">
        <v>25</v>
      </c>
      <c r="L5" s="47"/>
      <c r="M5" s="49">
        <v>6000000</v>
      </c>
      <c r="N5" s="49"/>
      <c r="O5" s="49"/>
      <c r="P5" s="49"/>
      <c r="Q5" s="49"/>
      <c r="R5" s="8"/>
    </row>
    <row r="6" spans="1:18" x14ac:dyDescent="0.35">
      <c r="B6" s="16" t="s">
        <v>38</v>
      </c>
      <c r="C6" s="29">
        <f>M8</f>
        <v>0.22430575003310407</v>
      </c>
      <c r="E6" s="46" t="s">
        <v>12</v>
      </c>
      <c r="F6" s="47"/>
      <c r="G6" s="50">
        <f>SUMPRODUCT(F12:F22,H12:H22)/SUM(H12:H22)</f>
        <v>-3.7074753339797324E-4</v>
      </c>
      <c r="H6" s="50"/>
      <c r="I6" s="8"/>
      <c r="K6" s="46" t="s">
        <v>12</v>
      </c>
      <c r="L6" s="47"/>
      <c r="M6" s="50">
        <f>SUMPRODUCT(L14:L25,P14:P25)/SUM(P14:P25)</f>
        <v>0.71810501006419025</v>
      </c>
      <c r="N6" s="50"/>
      <c r="O6" s="50"/>
      <c r="P6" s="50"/>
      <c r="Q6" s="50"/>
      <c r="R6" s="8"/>
    </row>
    <row r="7" spans="1:18" x14ac:dyDescent="0.35">
      <c r="B7" s="16" t="s">
        <v>17</v>
      </c>
      <c r="C7" s="30">
        <f>M10</f>
        <v>0</v>
      </c>
      <c r="E7" s="46" t="s">
        <v>13</v>
      </c>
      <c r="F7" s="47"/>
      <c r="G7" s="50">
        <f>SUMPRODUCT(G12:G22,H12:H22)/SUM(H12:H22)</f>
        <v>-1.9162514027812404E-2</v>
      </c>
      <c r="H7" s="50"/>
      <c r="I7" s="8"/>
      <c r="K7" s="46" t="s">
        <v>13</v>
      </c>
      <c r="L7" s="47"/>
      <c r="M7" s="50">
        <f>SUMPRODUCT(M14:M25,P14:P25)/SUM(P14:P25)</f>
        <v>0.58572404570337611</v>
      </c>
      <c r="N7" s="50"/>
      <c r="O7" s="50"/>
      <c r="P7" s="50"/>
      <c r="Q7" s="50"/>
      <c r="R7" s="8"/>
    </row>
    <row r="8" spans="1:18" x14ac:dyDescent="0.35">
      <c r="B8" s="16" t="s">
        <v>16</v>
      </c>
      <c r="C8" s="31">
        <f>M4</f>
        <v>1</v>
      </c>
      <c r="E8" s="46" t="s">
        <v>18</v>
      </c>
      <c r="F8" s="47"/>
      <c r="G8" s="51">
        <f>SUMPRODUCT(I12:I22,H12:H22)/SUM(H12:H22)</f>
        <v>0</v>
      </c>
      <c r="H8" s="51"/>
      <c r="I8" s="8"/>
      <c r="K8" s="43" t="s">
        <v>36</v>
      </c>
      <c r="L8" s="44"/>
      <c r="M8" s="45">
        <f>SUMPRODUCT(N14:N25,P14:P25)/SUM(P14:P25)</f>
        <v>0.22430575003310407</v>
      </c>
      <c r="N8" s="45"/>
      <c r="O8" s="45"/>
      <c r="P8" s="45"/>
      <c r="Q8" s="45"/>
      <c r="R8" s="8"/>
    </row>
    <row r="9" spans="1:18" ht="15" thickBot="1" x14ac:dyDescent="0.4">
      <c r="B9" s="32" t="s">
        <v>33</v>
      </c>
      <c r="C9" s="33">
        <v>44420</v>
      </c>
      <c r="E9" s="46" t="s">
        <v>16</v>
      </c>
      <c r="F9" s="47"/>
      <c r="G9" s="51">
        <f>SUM(H12:H22)</f>
        <v>1</v>
      </c>
      <c r="H9" s="51"/>
      <c r="I9" s="8"/>
      <c r="K9" s="43" t="s">
        <v>37</v>
      </c>
      <c r="L9" s="44"/>
      <c r="M9" s="45">
        <f>SUMPRODUCT(O14:O25,P14:P25)/SUM(P14:P25)</f>
        <v>0.8415887311612078</v>
      </c>
      <c r="N9" s="45"/>
      <c r="O9" s="45"/>
      <c r="P9" s="45"/>
      <c r="Q9" s="45"/>
      <c r="R9" s="8"/>
    </row>
    <row r="10" spans="1:18" ht="15" thickBot="1" x14ac:dyDescent="0.4">
      <c r="E10" s="61" t="s">
        <v>11</v>
      </c>
      <c r="F10" s="62"/>
      <c r="G10" s="62"/>
      <c r="H10" s="62"/>
      <c r="I10" s="63"/>
      <c r="K10" s="46" t="s">
        <v>18</v>
      </c>
      <c r="L10" s="47"/>
      <c r="M10" s="51">
        <f>SUMPRODUCT(R14:R25,P14:P25)/SUM(P14:P25)</f>
        <v>0</v>
      </c>
      <c r="N10" s="51"/>
      <c r="O10" s="51"/>
      <c r="P10" s="51"/>
      <c r="Q10" s="51"/>
      <c r="R10" s="8"/>
    </row>
    <row r="11" spans="1:18" ht="15" thickBot="1" x14ac:dyDescent="0.4">
      <c r="E11" s="25" t="s">
        <v>2</v>
      </c>
      <c r="F11" s="26" t="s">
        <v>1</v>
      </c>
      <c r="G11" s="26" t="s">
        <v>20</v>
      </c>
      <c r="H11" s="26" t="s">
        <v>26</v>
      </c>
      <c r="I11" s="27" t="s">
        <v>17</v>
      </c>
      <c r="K11" s="46" t="s">
        <v>16</v>
      </c>
      <c r="L11" s="47"/>
      <c r="M11" s="51">
        <f>SUM(P14:P25)</f>
        <v>1</v>
      </c>
      <c r="N11" s="51"/>
      <c r="O11" s="51"/>
      <c r="P11" s="51"/>
      <c r="Q11" s="51"/>
      <c r="R11" s="8"/>
    </row>
    <row r="12" spans="1:18" ht="15" thickBot="1" x14ac:dyDescent="0.4">
      <c r="E12" s="18" t="s">
        <v>30</v>
      </c>
      <c r="F12" s="19">
        <f>SymbolData!B4</f>
        <v>-3.7074753339797324E-4</v>
      </c>
      <c r="G12" s="19">
        <f>SymbolData!C4</f>
        <v>-1.9162514027812404E-2</v>
      </c>
      <c r="H12" s="20">
        <v>1</v>
      </c>
      <c r="I12" s="21">
        <v>0</v>
      </c>
      <c r="K12" s="61" t="s">
        <v>11</v>
      </c>
      <c r="L12" s="62"/>
      <c r="M12" s="62"/>
      <c r="N12" s="62"/>
      <c r="O12" s="62"/>
      <c r="P12" s="62"/>
      <c r="Q12" s="62"/>
      <c r="R12" s="63"/>
    </row>
    <row r="13" spans="1:18" s="64" customFormat="1" ht="29.5" thickBot="1" x14ac:dyDescent="0.4">
      <c r="B13"/>
      <c r="C13"/>
      <c r="E13" s="65"/>
      <c r="F13" s="66"/>
      <c r="G13" s="66"/>
      <c r="H13" s="67"/>
      <c r="I13" s="68"/>
      <c r="K13" s="69" t="s">
        <v>2</v>
      </c>
      <c r="L13" s="70" t="s">
        <v>1</v>
      </c>
      <c r="M13" s="70" t="s">
        <v>20</v>
      </c>
      <c r="N13" s="70" t="s">
        <v>38</v>
      </c>
      <c r="O13" s="70" t="s">
        <v>37</v>
      </c>
      <c r="P13" s="70" t="s">
        <v>39</v>
      </c>
      <c r="Q13" s="70" t="s">
        <v>40</v>
      </c>
      <c r="R13" s="71" t="s">
        <v>17</v>
      </c>
    </row>
    <row r="14" spans="1:18" x14ac:dyDescent="0.35">
      <c r="K14" s="35" t="s">
        <v>3</v>
      </c>
      <c r="L14" s="36">
        <f>SymbolData!B2</f>
        <v>0.99999999999999978</v>
      </c>
      <c r="M14" s="36">
        <f>SymbolData!C2</f>
        <v>1</v>
      </c>
      <c r="N14" s="37">
        <f>SymbolData!D2</f>
        <v>0.26652656069148095</v>
      </c>
      <c r="O14" s="36">
        <f>N14/N$14</f>
        <v>1</v>
      </c>
      <c r="P14" s="37">
        <v>0.34</v>
      </c>
      <c r="Q14" s="72">
        <f>P14*M$5</f>
        <v>2040000.0000000002</v>
      </c>
      <c r="R14" s="38">
        <v>0</v>
      </c>
    </row>
    <row r="15" spans="1:18" x14ac:dyDescent="0.35">
      <c r="B15" s="64"/>
      <c r="C15" s="64"/>
      <c r="K15" s="22" t="s">
        <v>30</v>
      </c>
      <c r="L15" s="23">
        <f>SymbolData!B4</f>
        <v>-3.7074753339797324E-4</v>
      </c>
      <c r="M15" s="23">
        <f>SymbolData!C4</f>
        <v>-1.9162514027812404E-2</v>
      </c>
      <c r="N15" s="24">
        <f>SymbolData!D4</f>
        <v>5.1566336660207246E-3</v>
      </c>
      <c r="O15" s="23">
        <f t="shared" ref="O15" si="0">N15/N$14</f>
        <v>1.9347541395657784E-2</v>
      </c>
      <c r="P15" s="24">
        <v>0.33</v>
      </c>
      <c r="Q15" s="73">
        <f>P15*M$5</f>
        <v>1980000</v>
      </c>
      <c r="R15" s="17">
        <v>0</v>
      </c>
    </row>
    <row r="16" spans="1:18" ht="15" thickBot="1" x14ac:dyDescent="0.4">
      <c r="K16" s="39" t="s">
        <v>4</v>
      </c>
      <c r="L16" s="40">
        <f>SymbolData!B5</f>
        <v>1.1461435053036715</v>
      </c>
      <c r="M16" s="40">
        <f>SymbolData!C5</f>
        <v>0.76378083434107336</v>
      </c>
      <c r="N16" s="41">
        <f>SymbolData!D5</f>
        <v>0.39995463723701125</v>
      </c>
      <c r="O16" s="40">
        <f>N16/N$14</f>
        <v>1.500618310608002</v>
      </c>
      <c r="P16" s="41">
        <v>0.33</v>
      </c>
      <c r="Q16" s="74">
        <f>P16*M$5</f>
        <v>1980000</v>
      </c>
      <c r="R16" s="42">
        <v>0</v>
      </c>
    </row>
    <row r="29" spans="2:17" x14ac:dyDescent="0.35">
      <c r="B29" s="14"/>
    </row>
    <row r="32" spans="2:17" x14ac:dyDescent="0.35">
      <c r="Q32" s="34"/>
    </row>
  </sheetData>
  <mergeCells count="33">
    <mergeCell ref="K5:L5"/>
    <mergeCell ref="E10:I10"/>
    <mergeCell ref="K12:R12"/>
    <mergeCell ref="M6:Q6"/>
    <mergeCell ref="K7:L7"/>
    <mergeCell ref="M7:Q7"/>
    <mergeCell ref="K10:L10"/>
    <mergeCell ref="M10:Q10"/>
    <mergeCell ref="K6:L6"/>
    <mergeCell ref="K11:L11"/>
    <mergeCell ref="E8:F8"/>
    <mergeCell ref="E9:F9"/>
    <mergeCell ref="M11:Q11"/>
    <mergeCell ref="G8:H8"/>
    <mergeCell ref="G9:H9"/>
    <mergeCell ref="B2:C2"/>
    <mergeCell ref="E6:F6"/>
    <mergeCell ref="G6:H6"/>
    <mergeCell ref="E7:F7"/>
    <mergeCell ref="G7:H7"/>
    <mergeCell ref="G3:I3"/>
    <mergeCell ref="E2:I2"/>
    <mergeCell ref="E3:F3"/>
    <mergeCell ref="E4:F4"/>
    <mergeCell ref="G4:H4"/>
    <mergeCell ref="E5:F5"/>
    <mergeCell ref="G5:H5"/>
    <mergeCell ref="M4:Q4"/>
    <mergeCell ref="M5:Q5"/>
    <mergeCell ref="K3:L3"/>
    <mergeCell ref="K4:L4"/>
    <mergeCell ref="M3:R3"/>
    <mergeCell ref="K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rocessSymbolData">
                <anchor moveWithCells="1" sizeWithCells="1">
                  <from>
                    <xdr:col>1</xdr:col>
                    <xdr:colOff>82550</xdr:colOff>
                    <xdr:row>16</xdr:row>
                    <xdr:rowOff>127000</xdr:rowOff>
                  </from>
                  <to>
                    <xdr:col>9</xdr:col>
                    <xdr:colOff>95250</xdr:colOff>
                    <xdr:row>20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lorScale" priority="3" id="{80CCB75A-56B6-45E6-B10B-C4D980242738}">
            <x14:colorScale>
              <x14:cfvo type="formula">
                <xm:f>AppSettings!$B$6*0.9</xm:f>
              </x14:cfvo>
              <x14:cfvo type="percentile">
                <xm:f>50</xm:f>
              </x14:cfvo>
              <x14:cfvo type="formula">
                <xm:f>AppSettings!$B$6*1.1</xm:f>
              </x14:cfvo>
              <x14:color rgb="FFFF9999"/>
              <x14:color theme="9" tint="0.39997558519241921"/>
              <x14:color rgb="FFFF9999"/>
            </x14:colorScale>
          </x14:cfRule>
          <xm:sqref>C3</xm:sqref>
        </x14:conditionalFormatting>
        <x14:conditionalFormatting xmlns:xm="http://schemas.microsoft.com/office/excel/2006/main">
          <x14:cfRule type="colorScale" priority="2" id="{A4F0EC62-B3FB-488C-B0EE-533C76CCA13A}">
            <x14:colorScale>
              <x14:cfvo type="formula">
                <xm:f>AppSettings!$B$7*0.9</xm:f>
              </x14:cfvo>
              <x14:cfvo type="percentile">
                <xm:f>50</xm:f>
              </x14:cfvo>
              <x14:cfvo type="formula">
                <xm:f>AppSettings!$B$7*1.1</xm:f>
              </x14:cfvo>
              <x14:color rgb="FFFF9999"/>
              <x14:color theme="9" tint="0.39997558519241921"/>
              <x14:color rgb="FFFF9999"/>
            </x14:colorScale>
          </x14:cfRule>
          <xm:sqref>C4</xm:sqref>
        </x14:conditionalFormatting>
        <x14:conditionalFormatting xmlns:xm="http://schemas.microsoft.com/office/excel/2006/main">
          <x14:cfRule type="colorScale" priority="1" id="{2843F9FC-EE36-472F-9483-4D21713C1A9D}">
            <x14:colorScale>
              <x14:cfvo type="formula">
                <xm:f>AppSettings!$B$8*0.9</xm:f>
              </x14:cfvo>
              <x14:cfvo type="percentile">
                <xm:f>50</xm:f>
              </x14:cfvo>
              <x14:cfvo type="formula">
                <xm:f>AppSettings!$B$8*1.1</xm:f>
              </x14:cfvo>
              <x14:color rgb="FFFF9999"/>
              <x14:color theme="9" tint="0.39997558519241921"/>
              <x14:color rgb="FFFF9999"/>
            </x14:colorScale>
          </x14:cfRule>
          <xm:sqref>C5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391FAE-16AB-407F-A20E-6E9146A22FAD}">
          <x14:formula1>
            <xm:f>AppSettings!$D$2:$D$96</xm:f>
          </x14:formula1>
          <xm:sqref>E12:E13 K14:K16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DDBA-5C5B-4EA0-AB9C-7239AD91A967}">
  <sheetPr codeName="Sheet6">
    <tabColor theme="9" tint="0.59999389629810485"/>
  </sheetPr>
  <dimension ref="A1:D5"/>
  <sheetViews>
    <sheetView workbookViewId="0">
      <selection activeCell="H16" sqref="H16"/>
    </sheetView>
  </sheetViews>
  <sheetFormatPr defaultRowHeight="14.5" x14ac:dyDescent="0.35"/>
  <cols>
    <col min="1" max="1" width="12.7265625" customWidth="1"/>
    <col min="2" max="2" width="6.81640625" style="5" customWidth="1"/>
    <col min="3" max="3" width="7.54296875" style="5" customWidth="1"/>
    <col min="4" max="4" width="11.26953125" style="75" customWidth="1"/>
  </cols>
  <sheetData>
    <row r="1" spans="1:4" x14ac:dyDescent="0.35">
      <c r="A1" s="1" t="s">
        <v>28</v>
      </c>
      <c r="B1" s="13" t="s">
        <v>1</v>
      </c>
      <c r="C1" s="1" t="s">
        <v>20</v>
      </c>
      <c r="D1" s="76" t="s">
        <v>41</v>
      </c>
    </row>
    <row r="2" spans="1:4" x14ac:dyDescent="0.35">
      <c r="A2" t="s">
        <v>3</v>
      </c>
      <c r="B2" s="5">
        <v>0.99999999999999978</v>
      </c>
      <c r="C2" s="5">
        <v>1</v>
      </c>
      <c r="D2" s="75">
        <v>0.26652656069148095</v>
      </c>
    </row>
    <row r="3" spans="1:4" x14ac:dyDescent="0.35">
      <c r="A3" t="s">
        <v>34</v>
      </c>
      <c r="B3" s="5">
        <v>0.64187302741015295</v>
      </c>
      <c r="C3" s="5">
        <v>0.83087776022156645</v>
      </c>
      <c r="D3" s="75">
        <v>0.20589817008778372</v>
      </c>
    </row>
    <row r="4" spans="1:4" x14ac:dyDescent="0.35">
      <c r="A4" t="s">
        <v>30</v>
      </c>
      <c r="B4" s="5">
        <v>-3.7074753339797324E-4</v>
      </c>
      <c r="C4" s="5">
        <v>-1.9162514027812404E-2</v>
      </c>
      <c r="D4" s="75">
        <v>5.1566336660207246E-3</v>
      </c>
    </row>
    <row r="5" spans="1:4" x14ac:dyDescent="0.35">
      <c r="A5" t="s">
        <v>4</v>
      </c>
      <c r="B5" s="5">
        <v>1.1461435053036715</v>
      </c>
      <c r="C5" s="5">
        <v>0.76378083434107336</v>
      </c>
      <c r="D5" s="75">
        <v>0.39995463723701125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7CC8B-874B-4DFA-AA54-D1A7243531A2}">
  <sheetPr>
    <tabColor rgb="FFC6E0B4"/>
  </sheetPr>
  <dimension ref="A1:G99"/>
  <sheetViews>
    <sheetView workbookViewId="0"/>
  </sheetViews>
  <sheetFormatPr defaultRowHeight="14.5" x14ac:dyDescent="0.35"/>
  <cols>
    <col min="1" max="1" width="8.7265625" style="2"/>
    <col min="2" max="5" width="8.7265625" style="3"/>
    <col min="6" max="6" width="8.7265625" style="4"/>
    <col min="7" max="7" width="8.7265625" style="3"/>
  </cols>
  <sheetData>
    <row r="1" spans="1:7" x14ac:dyDescent="0.35">
      <c r="A1" s="2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4" t="s">
        <v>10</v>
      </c>
      <c r="G1" s="3" t="s">
        <v>29</v>
      </c>
    </row>
    <row r="2" spans="1:7" x14ac:dyDescent="0.35">
      <c r="A2">
        <v>44360</v>
      </c>
      <c r="B2">
        <v>2549.7399999999998</v>
      </c>
      <c r="C2">
        <v>2310.29</v>
      </c>
      <c r="D2">
        <v>2369.62</v>
      </c>
      <c r="E2">
        <v>2509.6999999999998</v>
      </c>
      <c r="F2"/>
      <c r="G2"/>
    </row>
    <row r="3" spans="1:7" x14ac:dyDescent="0.35">
      <c r="A3">
        <v>44361</v>
      </c>
      <c r="B3">
        <v>2608.81</v>
      </c>
      <c r="C3">
        <v>2462.27</v>
      </c>
      <c r="D3">
        <v>2509.6999999999998</v>
      </c>
      <c r="E3">
        <v>2582.12</v>
      </c>
      <c r="F3">
        <v>-2.8856038570347131E-2</v>
      </c>
      <c r="G3">
        <v>-2.8856038570347131E-2</v>
      </c>
    </row>
    <row r="4" spans="1:7" x14ac:dyDescent="0.35">
      <c r="A4">
        <v>44362</v>
      </c>
      <c r="B4">
        <v>2639.89</v>
      </c>
      <c r="C4">
        <v>2507.88</v>
      </c>
      <c r="D4">
        <v>2582.12</v>
      </c>
      <c r="E4">
        <v>2543.6</v>
      </c>
      <c r="F4">
        <v>1.4917974377643195E-2</v>
      </c>
      <c r="G4">
        <v>1.4917974377643195E-2</v>
      </c>
    </row>
    <row r="5" spans="1:7" x14ac:dyDescent="0.35">
      <c r="A5">
        <v>44363</v>
      </c>
      <c r="B5">
        <v>2554.5100000000002</v>
      </c>
      <c r="C5">
        <v>2351.52</v>
      </c>
      <c r="D5">
        <v>2543.6</v>
      </c>
      <c r="E5">
        <v>2367.6999999999998</v>
      </c>
      <c r="F5">
        <v>6.9153955024374936E-2</v>
      </c>
      <c r="G5">
        <v>6.9153955024374936E-2</v>
      </c>
    </row>
    <row r="6" spans="1:7" x14ac:dyDescent="0.35">
      <c r="A6">
        <v>44364</v>
      </c>
      <c r="B6">
        <v>2458.9699999999998</v>
      </c>
      <c r="C6">
        <v>2306.4</v>
      </c>
      <c r="D6">
        <v>2367.6999999999998</v>
      </c>
      <c r="E6">
        <v>2372.31</v>
      </c>
      <c r="F6">
        <v>-1.9470372091059396E-3</v>
      </c>
      <c r="G6">
        <v>-1.9470372091059396E-3</v>
      </c>
    </row>
    <row r="7" spans="1:7" x14ac:dyDescent="0.35">
      <c r="A7">
        <v>44365</v>
      </c>
      <c r="B7">
        <v>2377.33</v>
      </c>
      <c r="C7">
        <v>2135.2199999999998</v>
      </c>
      <c r="D7">
        <v>2372.31</v>
      </c>
      <c r="E7">
        <v>2233.5700000000002</v>
      </c>
      <c r="F7">
        <v>5.8483081890646549E-2</v>
      </c>
      <c r="G7">
        <v>5.8483081890646549E-2</v>
      </c>
    </row>
    <row r="8" spans="1:7" x14ac:dyDescent="0.35">
      <c r="A8">
        <v>44366</v>
      </c>
      <c r="B8">
        <v>2278.35</v>
      </c>
      <c r="C8">
        <v>2164.0500000000002</v>
      </c>
      <c r="D8">
        <v>2233.5700000000002</v>
      </c>
      <c r="E8">
        <v>2166.61</v>
      </c>
      <c r="F8">
        <v>2.9978912682387393E-2</v>
      </c>
      <c r="G8">
        <v>2.9978912682387393E-2</v>
      </c>
    </row>
    <row r="9" spans="1:7" x14ac:dyDescent="0.35">
      <c r="A9">
        <v>44367</v>
      </c>
      <c r="B9">
        <v>2276.61</v>
      </c>
      <c r="C9">
        <v>2043.74</v>
      </c>
      <c r="D9">
        <v>2166.61</v>
      </c>
      <c r="E9">
        <v>2243.6</v>
      </c>
      <c r="F9">
        <v>-3.5534775524898254E-2</v>
      </c>
      <c r="G9">
        <v>-3.5534775524898254E-2</v>
      </c>
    </row>
    <row r="10" spans="1:7" x14ac:dyDescent="0.35">
      <c r="A10">
        <v>44368</v>
      </c>
      <c r="B10">
        <v>2259.39</v>
      </c>
      <c r="C10">
        <v>1870.01</v>
      </c>
      <c r="D10">
        <v>2243.6</v>
      </c>
      <c r="E10">
        <v>1887.89</v>
      </c>
      <c r="F10">
        <v>0.15854430379746831</v>
      </c>
      <c r="G10">
        <v>0.15854430379746831</v>
      </c>
    </row>
    <row r="11" spans="1:7" x14ac:dyDescent="0.35">
      <c r="A11">
        <v>44369</v>
      </c>
      <c r="B11">
        <v>1998.75</v>
      </c>
      <c r="C11">
        <v>1705.78</v>
      </c>
      <c r="D11">
        <v>1887.89</v>
      </c>
      <c r="E11">
        <v>1880.83</v>
      </c>
      <c r="F11">
        <v>3.7396246603351724E-3</v>
      </c>
      <c r="G11">
        <v>3.7396246603351724E-3</v>
      </c>
    </row>
    <row r="12" spans="1:7" x14ac:dyDescent="0.35">
      <c r="A12">
        <v>44370</v>
      </c>
      <c r="B12">
        <v>2044.91</v>
      </c>
      <c r="C12">
        <v>1827.2</v>
      </c>
      <c r="D12">
        <v>1880.83</v>
      </c>
      <c r="E12">
        <v>1968.56</v>
      </c>
      <c r="F12">
        <v>-4.6644300654498316E-2</v>
      </c>
      <c r="G12">
        <v>-4.6644300654498316E-2</v>
      </c>
    </row>
    <row r="13" spans="1:7" x14ac:dyDescent="0.35">
      <c r="A13">
        <v>44371</v>
      </c>
      <c r="B13">
        <v>2034.57</v>
      </c>
      <c r="C13">
        <v>1886.17</v>
      </c>
      <c r="D13">
        <v>1968.56</v>
      </c>
      <c r="E13">
        <v>1989.01</v>
      </c>
      <c r="F13">
        <v>-1.0388304141098148E-2</v>
      </c>
      <c r="G13">
        <v>-1.0388304141098148E-2</v>
      </c>
    </row>
    <row r="14" spans="1:7" x14ac:dyDescent="0.35">
      <c r="A14">
        <v>44372</v>
      </c>
      <c r="B14">
        <v>2019.45</v>
      </c>
      <c r="C14">
        <v>1791.99</v>
      </c>
      <c r="D14">
        <v>1989.01</v>
      </c>
      <c r="E14">
        <v>1810.27</v>
      </c>
      <c r="F14">
        <v>8.9863801589735615E-2</v>
      </c>
      <c r="G14">
        <v>8.9863801589735615E-2</v>
      </c>
    </row>
    <row r="15" spans="1:7" x14ac:dyDescent="0.35">
      <c r="A15">
        <v>44373</v>
      </c>
      <c r="B15">
        <v>1851.36</v>
      </c>
      <c r="C15">
        <v>1717.91</v>
      </c>
      <c r="D15">
        <v>1810.27</v>
      </c>
      <c r="E15">
        <v>1830.94</v>
      </c>
      <c r="F15">
        <v>-1.1418186237412087E-2</v>
      </c>
      <c r="G15">
        <v>-1.1418186237412087E-2</v>
      </c>
    </row>
    <row r="16" spans="1:7" x14ac:dyDescent="0.35">
      <c r="A16">
        <v>44374</v>
      </c>
      <c r="B16">
        <v>1984.58</v>
      </c>
      <c r="C16">
        <v>1808.2</v>
      </c>
      <c r="D16">
        <v>1830.94</v>
      </c>
      <c r="E16">
        <v>1983.33</v>
      </c>
      <c r="F16">
        <v>-8.3230471779522919E-2</v>
      </c>
      <c r="G16">
        <v>-8.3230471779522919E-2</v>
      </c>
    </row>
    <row r="17" spans="1:7" x14ac:dyDescent="0.35">
      <c r="A17">
        <v>44375</v>
      </c>
      <c r="B17">
        <v>2143.6</v>
      </c>
      <c r="C17">
        <v>1961.83</v>
      </c>
      <c r="D17">
        <v>1983.33</v>
      </c>
      <c r="E17">
        <v>2083.8000000000002</v>
      </c>
      <c r="F17">
        <v>-5.0657227995341225E-2</v>
      </c>
      <c r="G17">
        <v>-5.0657227995341225E-2</v>
      </c>
    </row>
    <row r="18" spans="1:7" x14ac:dyDescent="0.35">
      <c r="A18">
        <v>44376</v>
      </c>
      <c r="B18">
        <v>2245.38</v>
      </c>
      <c r="C18">
        <v>2075.64</v>
      </c>
      <c r="D18">
        <v>2083.8000000000002</v>
      </c>
      <c r="E18">
        <v>2165.61</v>
      </c>
      <c r="F18">
        <v>-3.9260005758710026E-2</v>
      </c>
      <c r="G18">
        <v>-3.9260005758710026E-2</v>
      </c>
    </row>
    <row r="19" spans="1:7" x14ac:dyDescent="0.35">
      <c r="A19">
        <v>44377</v>
      </c>
      <c r="B19">
        <v>2287.0500000000002</v>
      </c>
      <c r="C19">
        <v>2089.5500000000002</v>
      </c>
      <c r="D19">
        <v>2165.61</v>
      </c>
      <c r="E19">
        <v>2276.14</v>
      </c>
      <c r="F19">
        <v>-5.103873735344755E-2</v>
      </c>
      <c r="G19">
        <v>-5.103873735344755E-2</v>
      </c>
    </row>
    <row r="20" spans="1:7" x14ac:dyDescent="0.35">
      <c r="A20">
        <v>44378</v>
      </c>
      <c r="B20">
        <v>2277.0500000000002</v>
      </c>
      <c r="C20">
        <v>2074.67</v>
      </c>
      <c r="D20">
        <v>2276.14</v>
      </c>
      <c r="E20">
        <v>2109.29</v>
      </c>
      <c r="F20">
        <v>7.3303926823481858E-2</v>
      </c>
      <c r="G20">
        <v>7.3303926823481858E-2</v>
      </c>
    </row>
    <row r="21" spans="1:7" x14ac:dyDescent="0.35">
      <c r="A21">
        <v>44379</v>
      </c>
      <c r="B21">
        <v>2159.25</v>
      </c>
      <c r="C21">
        <v>2018.32</v>
      </c>
      <c r="D21">
        <v>2109.29</v>
      </c>
      <c r="E21">
        <v>2155.65</v>
      </c>
      <c r="F21">
        <v>-2.1978959744748394E-2</v>
      </c>
      <c r="G21">
        <v>-2.1978959744748394E-2</v>
      </c>
    </row>
    <row r="22" spans="1:7" x14ac:dyDescent="0.35">
      <c r="A22">
        <v>44380</v>
      </c>
      <c r="B22">
        <v>2238.77</v>
      </c>
      <c r="C22">
        <v>2113.2399999999998</v>
      </c>
      <c r="D22">
        <v>2155.65</v>
      </c>
      <c r="E22">
        <v>2227.1799999999998</v>
      </c>
      <c r="F22">
        <v>-3.3182566743209518E-2</v>
      </c>
      <c r="G22">
        <v>-3.3182566743209518E-2</v>
      </c>
    </row>
    <row r="23" spans="1:7" x14ac:dyDescent="0.35">
      <c r="A23">
        <v>44381</v>
      </c>
      <c r="B23">
        <v>2387.73</v>
      </c>
      <c r="C23">
        <v>2190.7800000000002</v>
      </c>
      <c r="D23">
        <v>2227.1799999999998</v>
      </c>
      <c r="E23">
        <v>2323.27</v>
      </c>
      <c r="F23">
        <v>-4.314424518898341E-2</v>
      </c>
      <c r="G23">
        <v>-4.314424518898341E-2</v>
      </c>
    </row>
    <row r="24" spans="1:7" x14ac:dyDescent="0.35">
      <c r="A24">
        <v>44382</v>
      </c>
      <c r="B24">
        <v>2323.5300000000002</v>
      </c>
      <c r="C24">
        <v>2159.5700000000002</v>
      </c>
      <c r="D24">
        <v>2323.27</v>
      </c>
      <c r="E24">
        <v>2196.71</v>
      </c>
      <c r="F24">
        <v>5.447494264549535E-2</v>
      </c>
      <c r="G24">
        <v>5.447494264549535E-2</v>
      </c>
    </row>
    <row r="25" spans="1:7" x14ac:dyDescent="0.35">
      <c r="A25">
        <v>44383</v>
      </c>
      <c r="B25">
        <v>2349.66</v>
      </c>
      <c r="C25">
        <v>2194.9699999999998</v>
      </c>
      <c r="D25">
        <v>2196.71</v>
      </c>
      <c r="E25">
        <v>2322.63</v>
      </c>
      <c r="F25">
        <v>-5.7322086210742418E-2</v>
      </c>
      <c r="G25">
        <v>-5.7322086210742418E-2</v>
      </c>
    </row>
    <row r="26" spans="1:7" x14ac:dyDescent="0.35">
      <c r="A26">
        <v>44384</v>
      </c>
      <c r="B26">
        <v>2408.5300000000002</v>
      </c>
      <c r="C26">
        <v>2294.71</v>
      </c>
      <c r="D26">
        <v>2322.63</v>
      </c>
      <c r="E26">
        <v>2317.12</v>
      </c>
      <c r="F26">
        <v>2.3723106995088283E-3</v>
      </c>
      <c r="G26">
        <v>2.3723106995088283E-3</v>
      </c>
    </row>
    <row r="27" spans="1:7" x14ac:dyDescent="0.35">
      <c r="A27">
        <v>44385</v>
      </c>
      <c r="B27">
        <v>2324.7199999999998</v>
      </c>
      <c r="C27">
        <v>2084.63</v>
      </c>
      <c r="D27">
        <v>2317.12</v>
      </c>
      <c r="E27">
        <v>2114.5100000000002</v>
      </c>
      <c r="F27">
        <v>8.7440443308935079E-2</v>
      </c>
      <c r="G27">
        <v>8.7440443308935079E-2</v>
      </c>
    </row>
    <row r="28" spans="1:7" x14ac:dyDescent="0.35">
      <c r="A28">
        <v>44386</v>
      </c>
      <c r="B28">
        <v>2186.2600000000002</v>
      </c>
      <c r="C28">
        <v>2048.12</v>
      </c>
      <c r="D28">
        <v>2114.5100000000002</v>
      </c>
      <c r="E28">
        <v>2145.67</v>
      </c>
      <c r="F28">
        <v>-1.4736274597897392E-2</v>
      </c>
      <c r="G28">
        <v>-1.4736274597897392E-2</v>
      </c>
    </row>
    <row r="29" spans="1:7" x14ac:dyDescent="0.35">
      <c r="A29">
        <v>44387</v>
      </c>
      <c r="B29">
        <v>2190.77</v>
      </c>
      <c r="C29">
        <v>2075.5500000000002</v>
      </c>
      <c r="D29">
        <v>2145.67</v>
      </c>
      <c r="E29">
        <v>2110.4699999999998</v>
      </c>
      <c r="F29">
        <v>1.6405132196470218E-2</v>
      </c>
      <c r="G29">
        <v>1.6405132196470218E-2</v>
      </c>
    </row>
    <row r="30" spans="1:7" x14ac:dyDescent="0.35">
      <c r="A30">
        <v>44388</v>
      </c>
      <c r="B30">
        <v>2173.19</v>
      </c>
      <c r="C30">
        <v>2081.9299999999998</v>
      </c>
      <c r="D30">
        <v>2110.4699999999998</v>
      </c>
      <c r="E30">
        <v>2140.4499999999998</v>
      </c>
      <c r="F30">
        <v>-1.4205366577113132E-2</v>
      </c>
      <c r="G30">
        <v>-1.4205366577113132E-2</v>
      </c>
    </row>
    <row r="31" spans="1:7" x14ac:dyDescent="0.35">
      <c r="A31">
        <v>44389</v>
      </c>
      <c r="B31">
        <v>2168.12</v>
      </c>
      <c r="C31">
        <v>2007.79</v>
      </c>
      <c r="D31">
        <v>2140.4499999999998</v>
      </c>
      <c r="E31">
        <v>2032.88</v>
      </c>
      <c r="F31">
        <v>5.0255787334438917E-2</v>
      </c>
      <c r="G31">
        <v>5.0255787334438917E-2</v>
      </c>
    </row>
    <row r="32" spans="1:7" x14ac:dyDescent="0.35">
      <c r="A32">
        <v>44390</v>
      </c>
      <c r="B32">
        <v>2046.08</v>
      </c>
      <c r="C32">
        <v>1917.9</v>
      </c>
      <c r="D32">
        <v>2032.88</v>
      </c>
      <c r="E32">
        <v>1940.61</v>
      </c>
      <c r="F32">
        <v>4.5388807996536995E-2</v>
      </c>
      <c r="G32">
        <v>4.5388807996536995E-2</v>
      </c>
    </row>
    <row r="33" spans="1:7" x14ac:dyDescent="0.35">
      <c r="A33">
        <v>44391</v>
      </c>
      <c r="B33">
        <v>2019.42</v>
      </c>
      <c r="C33">
        <v>1866.25</v>
      </c>
      <c r="D33">
        <v>1940.61</v>
      </c>
      <c r="E33">
        <v>1994.22</v>
      </c>
      <c r="F33">
        <v>-2.7625334302100901E-2</v>
      </c>
      <c r="G33">
        <v>-2.7625334302100901E-2</v>
      </c>
    </row>
    <row r="34" spans="1:7" x14ac:dyDescent="0.35">
      <c r="A34">
        <v>44392</v>
      </c>
      <c r="B34">
        <v>2039.24</v>
      </c>
      <c r="C34">
        <v>1881.4</v>
      </c>
      <c r="D34">
        <v>1994.22</v>
      </c>
      <c r="E34">
        <v>1918.17</v>
      </c>
      <c r="F34">
        <v>3.8135210759093763E-2</v>
      </c>
      <c r="G34">
        <v>3.8135210759093763E-2</v>
      </c>
    </row>
    <row r="35" spans="1:7" x14ac:dyDescent="0.35">
      <c r="A35">
        <v>44393</v>
      </c>
      <c r="B35">
        <v>1964.79</v>
      </c>
      <c r="C35">
        <v>1850.35</v>
      </c>
      <c r="D35">
        <v>1918.17</v>
      </c>
      <c r="E35">
        <v>1877.05</v>
      </c>
      <c r="F35">
        <v>2.1437098901557317E-2</v>
      </c>
      <c r="G35">
        <v>2.1437098901557317E-2</v>
      </c>
    </row>
    <row r="36" spans="1:7" x14ac:dyDescent="0.35">
      <c r="A36">
        <v>44394</v>
      </c>
      <c r="B36">
        <v>1918.93</v>
      </c>
      <c r="C36">
        <v>1849.84</v>
      </c>
      <c r="D36">
        <v>1877.05</v>
      </c>
      <c r="E36">
        <v>1899.96</v>
      </c>
      <c r="F36">
        <v>-1.2205322181082057E-2</v>
      </c>
      <c r="G36">
        <v>-1.2205322181082057E-2</v>
      </c>
    </row>
    <row r="37" spans="1:7" x14ac:dyDescent="0.35">
      <c r="A37">
        <v>44395</v>
      </c>
      <c r="B37">
        <v>1993.26</v>
      </c>
      <c r="C37">
        <v>1881.84</v>
      </c>
      <c r="D37">
        <v>1899.96</v>
      </c>
      <c r="E37">
        <v>1891.96</v>
      </c>
      <c r="F37">
        <v>4.2106149603149401E-3</v>
      </c>
      <c r="G37">
        <v>4.2106149603149401E-3</v>
      </c>
    </row>
    <row r="38" spans="1:7" x14ac:dyDescent="0.35">
      <c r="A38">
        <v>44396</v>
      </c>
      <c r="B38">
        <v>1918.43</v>
      </c>
      <c r="C38">
        <v>1806.49</v>
      </c>
      <c r="D38">
        <v>1891.96</v>
      </c>
      <c r="E38">
        <v>1818.6</v>
      </c>
      <c r="F38">
        <v>3.8774604114251932E-2</v>
      </c>
      <c r="G38">
        <v>3.8774604114251932E-2</v>
      </c>
    </row>
    <row r="39" spans="1:7" x14ac:dyDescent="0.35">
      <c r="A39">
        <v>44397</v>
      </c>
      <c r="B39">
        <v>1840.59</v>
      </c>
      <c r="C39">
        <v>1720.11</v>
      </c>
      <c r="D39">
        <v>1818.6</v>
      </c>
      <c r="E39">
        <v>1786.52</v>
      </c>
      <c r="F39">
        <v>1.7639942813152953E-2</v>
      </c>
      <c r="G39">
        <v>1.7639942813152953E-2</v>
      </c>
    </row>
    <row r="40" spans="1:7" x14ac:dyDescent="0.35">
      <c r="A40">
        <v>44398</v>
      </c>
      <c r="B40">
        <v>2030.25</v>
      </c>
      <c r="C40">
        <v>1755.61</v>
      </c>
      <c r="D40">
        <v>1786.52</v>
      </c>
      <c r="E40">
        <v>1994.98</v>
      </c>
      <c r="F40">
        <v>-0.11668495174977056</v>
      </c>
      <c r="G40">
        <v>-0.11668495174977056</v>
      </c>
    </row>
    <row r="41" spans="1:7" x14ac:dyDescent="0.35">
      <c r="A41">
        <v>44399</v>
      </c>
      <c r="B41">
        <v>2046.29</v>
      </c>
      <c r="C41">
        <v>1949.15</v>
      </c>
      <c r="D41">
        <v>1994.98</v>
      </c>
      <c r="E41">
        <v>2024.74</v>
      </c>
      <c r="F41">
        <v>-1.4917442781381185E-2</v>
      </c>
      <c r="G41">
        <v>-1.4917442781381185E-2</v>
      </c>
    </row>
    <row r="42" spans="1:7" x14ac:dyDescent="0.35">
      <c r="A42">
        <v>44400</v>
      </c>
      <c r="B42">
        <v>2131.09</v>
      </c>
      <c r="C42">
        <v>1997.36</v>
      </c>
      <c r="D42">
        <v>2024.74</v>
      </c>
      <c r="E42">
        <v>2125.5700000000002</v>
      </c>
      <c r="F42">
        <v>-4.9798986536543133E-2</v>
      </c>
      <c r="G42">
        <v>-4.9798986536543133E-2</v>
      </c>
    </row>
    <row r="43" spans="1:7" x14ac:dyDescent="0.35">
      <c r="A43">
        <v>44401</v>
      </c>
      <c r="B43">
        <v>2199.9899999999998</v>
      </c>
      <c r="C43">
        <v>2107.4699999999998</v>
      </c>
      <c r="D43">
        <v>2125.5700000000002</v>
      </c>
      <c r="E43">
        <v>2185.98</v>
      </c>
      <c r="F43">
        <v>-2.8420611882930213E-2</v>
      </c>
      <c r="G43">
        <v>-2.8420611882930213E-2</v>
      </c>
    </row>
    <row r="44" spans="1:7" x14ac:dyDescent="0.35">
      <c r="A44">
        <v>44402</v>
      </c>
      <c r="B44">
        <v>2197.0700000000002</v>
      </c>
      <c r="C44">
        <v>2109.21</v>
      </c>
      <c r="D44">
        <v>2185.98</v>
      </c>
      <c r="E44">
        <v>2194.34</v>
      </c>
      <c r="F44">
        <v>-3.8243716776915626E-3</v>
      </c>
      <c r="G44">
        <v>-3.8243716776915626E-3</v>
      </c>
    </row>
    <row r="45" spans="1:7" x14ac:dyDescent="0.35">
      <c r="A45">
        <v>44403</v>
      </c>
      <c r="B45">
        <v>2430.27</v>
      </c>
      <c r="C45">
        <v>2175.42</v>
      </c>
      <c r="D45">
        <v>2194.34</v>
      </c>
      <c r="E45">
        <v>2228.67</v>
      </c>
      <c r="F45">
        <v>-1.564479524595086E-2</v>
      </c>
      <c r="G45">
        <v>-1.564479524595086E-2</v>
      </c>
    </row>
    <row r="46" spans="1:7" x14ac:dyDescent="0.35">
      <c r="A46">
        <v>44404</v>
      </c>
      <c r="B46">
        <v>2319.63</v>
      </c>
      <c r="C46">
        <v>2152.9699999999998</v>
      </c>
      <c r="D46">
        <v>2228.67</v>
      </c>
      <c r="E46">
        <v>2301.98</v>
      </c>
      <c r="F46">
        <v>-3.289405789102906E-2</v>
      </c>
      <c r="G46">
        <v>-3.289405789102906E-2</v>
      </c>
    </row>
    <row r="47" spans="1:7" x14ac:dyDescent="0.35">
      <c r="A47">
        <v>44405</v>
      </c>
      <c r="B47">
        <v>2346.5300000000002</v>
      </c>
      <c r="C47">
        <v>2245.77</v>
      </c>
      <c r="D47">
        <v>2301.98</v>
      </c>
      <c r="E47">
        <v>2301.12</v>
      </c>
      <c r="F47">
        <v>3.7359142998638628E-4</v>
      </c>
      <c r="G47">
        <v>3.7359142998638628E-4</v>
      </c>
    </row>
    <row r="48" spans="1:7" x14ac:dyDescent="0.35">
      <c r="A48">
        <v>44406</v>
      </c>
      <c r="B48">
        <v>2398.9699999999998</v>
      </c>
      <c r="C48">
        <v>2268.67</v>
      </c>
      <c r="D48">
        <v>2301.12</v>
      </c>
      <c r="E48">
        <v>2383.2399999999998</v>
      </c>
      <c r="F48">
        <v>-3.5686969823390369E-2</v>
      </c>
      <c r="G48">
        <v>-3.5686969823390369E-2</v>
      </c>
    </row>
    <row r="49" spans="1:7" x14ac:dyDescent="0.35">
      <c r="A49">
        <v>44407</v>
      </c>
      <c r="B49">
        <v>2471.75</v>
      </c>
      <c r="C49">
        <v>2318.5</v>
      </c>
      <c r="D49">
        <v>2383.2399999999998</v>
      </c>
      <c r="E49">
        <v>2463.61</v>
      </c>
      <c r="F49">
        <v>-3.3722998942615989E-2</v>
      </c>
      <c r="G49">
        <v>-3.3722998942615989E-2</v>
      </c>
    </row>
    <row r="50" spans="1:7" x14ac:dyDescent="0.35">
      <c r="A50">
        <v>44408</v>
      </c>
      <c r="B50">
        <v>2553.71</v>
      </c>
      <c r="C50">
        <v>2422.41</v>
      </c>
      <c r="D50">
        <v>2463.61</v>
      </c>
      <c r="E50">
        <v>2531.75</v>
      </c>
      <c r="F50">
        <v>-2.7658598560648784E-2</v>
      </c>
      <c r="G50">
        <v>-2.7658598560648784E-2</v>
      </c>
    </row>
    <row r="51" spans="1:7" x14ac:dyDescent="0.35">
      <c r="A51">
        <v>44409</v>
      </c>
      <c r="B51">
        <v>2698.09</v>
      </c>
      <c r="C51">
        <v>2513.63</v>
      </c>
      <c r="D51">
        <v>2531.75</v>
      </c>
      <c r="E51">
        <v>2556.41</v>
      </c>
      <c r="F51">
        <v>-9.7402982126986171E-3</v>
      </c>
      <c r="G51">
        <v>-9.7402982126986171E-3</v>
      </c>
    </row>
    <row r="52" spans="1:7" x14ac:dyDescent="0.35">
      <c r="A52">
        <v>44410</v>
      </c>
      <c r="B52">
        <v>2666.13</v>
      </c>
      <c r="C52">
        <v>2507.7600000000002</v>
      </c>
      <c r="D52">
        <v>2556.41</v>
      </c>
      <c r="E52">
        <v>2608.44</v>
      </c>
      <c r="F52">
        <v>-2.0352760316224794E-2</v>
      </c>
      <c r="G52">
        <v>-2.0352760316224794E-2</v>
      </c>
    </row>
    <row r="53" spans="1:7" x14ac:dyDescent="0.35">
      <c r="A53">
        <v>44411</v>
      </c>
      <c r="B53">
        <v>2632.24</v>
      </c>
      <c r="C53">
        <v>2447.3200000000002</v>
      </c>
      <c r="D53">
        <v>2608.44</v>
      </c>
      <c r="E53">
        <v>2508.21</v>
      </c>
      <c r="F53">
        <v>3.8425265676036213E-2</v>
      </c>
      <c r="G53">
        <v>3.8425265676036213E-2</v>
      </c>
    </row>
    <row r="54" spans="1:7" x14ac:dyDescent="0.35">
      <c r="A54">
        <v>44412</v>
      </c>
      <c r="B54">
        <v>2770.24</v>
      </c>
      <c r="C54">
        <v>2458.12</v>
      </c>
      <c r="D54">
        <v>2508.21</v>
      </c>
      <c r="E54">
        <v>2725.72</v>
      </c>
      <c r="F54">
        <v>-8.6719214100892561E-2</v>
      </c>
      <c r="G54">
        <v>-8.6719214100892561E-2</v>
      </c>
    </row>
    <row r="55" spans="1:7" x14ac:dyDescent="0.35">
      <c r="A55">
        <v>44413</v>
      </c>
      <c r="B55">
        <v>2844.03</v>
      </c>
      <c r="C55">
        <v>2536.5100000000002</v>
      </c>
      <c r="D55">
        <v>2725.72</v>
      </c>
      <c r="E55">
        <v>2829.23</v>
      </c>
      <c r="F55">
        <v>-3.7975287263548818E-2</v>
      </c>
      <c r="G55">
        <v>-3.7975287263548818E-2</v>
      </c>
    </row>
    <row r="56" spans="1:7" x14ac:dyDescent="0.35">
      <c r="A56">
        <v>44414</v>
      </c>
      <c r="B56">
        <v>2949.04</v>
      </c>
      <c r="C56">
        <v>2722.76</v>
      </c>
      <c r="D56">
        <v>2829.23</v>
      </c>
      <c r="E56">
        <v>2892.36</v>
      </c>
      <c r="F56">
        <v>-2.2313491656740458E-2</v>
      </c>
      <c r="G56">
        <v>-2.2313491656740458E-2</v>
      </c>
    </row>
    <row r="57" spans="1:7" x14ac:dyDescent="0.35">
      <c r="A57">
        <v>44415</v>
      </c>
      <c r="B57">
        <v>3172.52</v>
      </c>
      <c r="C57">
        <v>2866.96</v>
      </c>
      <c r="D57">
        <v>2892.36</v>
      </c>
      <c r="E57">
        <v>3162.43</v>
      </c>
      <c r="F57">
        <v>-9.3373577286368192E-2</v>
      </c>
      <c r="G57">
        <v>-9.3373577286368192E-2</v>
      </c>
    </row>
    <row r="58" spans="1:7" x14ac:dyDescent="0.35">
      <c r="A58">
        <v>44416</v>
      </c>
      <c r="B58">
        <v>3190.38</v>
      </c>
      <c r="C58">
        <v>2949.65</v>
      </c>
      <c r="D58">
        <v>3162.43</v>
      </c>
      <c r="E58">
        <v>3013.75</v>
      </c>
      <c r="F58">
        <v>4.7014479371875417E-2</v>
      </c>
      <c r="G58">
        <v>4.7014479371875417E-2</v>
      </c>
    </row>
    <row r="59" spans="1:7" x14ac:dyDescent="0.35">
      <c r="A59">
        <v>44417</v>
      </c>
      <c r="B59">
        <v>3187.64</v>
      </c>
      <c r="C59">
        <v>2895.74</v>
      </c>
      <c r="D59">
        <v>3013.75</v>
      </c>
      <c r="E59">
        <v>3164.94</v>
      </c>
      <c r="F59">
        <v>-5.0166735794276329E-2</v>
      </c>
      <c r="G59">
        <v>-5.0166735794276329E-2</v>
      </c>
    </row>
    <row r="60" spans="1:7" x14ac:dyDescent="0.35">
      <c r="A60">
        <v>44418</v>
      </c>
      <c r="B60">
        <v>3233.77</v>
      </c>
      <c r="C60">
        <v>3053.01</v>
      </c>
      <c r="D60">
        <v>3164.94</v>
      </c>
      <c r="E60">
        <v>3141.67</v>
      </c>
      <c r="F60">
        <v>7.3524300618652561E-3</v>
      </c>
      <c r="G60">
        <v>7.3524300618652561E-3</v>
      </c>
    </row>
    <row r="61" spans="1:7" x14ac:dyDescent="0.35">
      <c r="A61">
        <v>44419</v>
      </c>
      <c r="B61">
        <v>3274.22</v>
      </c>
      <c r="C61">
        <v>3123.08</v>
      </c>
      <c r="D61">
        <v>3141.67</v>
      </c>
      <c r="E61">
        <v>3163.42</v>
      </c>
      <c r="F61">
        <v>-6.9230695776449913E-3</v>
      </c>
      <c r="G61">
        <v>-6.9230695776449913E-3</v>
      </c>
    </row>
    <row r="62" spans="1:7" x14ac:dyDescent="0.35">
      <c r="A62">
        <v>44420</v>
      </c>
      <c r="B62">
        <v>3239.16</v>
      </c>
      <c r="C62">
        <v>2981.32</v>
      </c>
      <c r="D62">
        <v>3163.42</v>
      </c>
      <c r="E62">
        <v>3066.36</v>
      </c>
      <c r="F62">
        <v>3.0681983423004211E-2</v>
      </c>
      <c r="G62">
        <v>3.0681983423004211E-2</v>
      </c>
    </row>
    <row r="63" spans="1:7" x14ac:dyDescent="0.35">
      <c r="A63"/>
      <c r="B63"/>
      <c r="C63"/>
      <c r="D63"/>
      <c r="E63"/>
      <c r="F63"/>
      <c r="G63"/>
    </row>
    <row r="64" spans="1:7" x14ac:dyDescent="0.35">
      <c r="A64"/>
      <c r="B64"/>
      <c r="C64"/>
      <c r="D64"/>
      <c r="E64"/>
      <c r="F64"/>
      <c r="G64"/>
    </row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4004E-9233-4200-BBEA-A1CBF33B1FEF}">
  <sheetPr>
    <tabColor rgb="FFC6E0B4"/>
  </sheetPr>
  <dimension ref="A1:G99"/>
  <sheetViews>
    <sheetView workbookViewId="0"/>
  </sheetViews>
  <sheetFormatPr defaultRowHeight="14.5" x14ac:dyDescent="0.35"/>
  <cols>
    <col min="1" max="1" width="8.7265625" style="2"/>
    <col min="2" max="5" width="8.7265625" style="3"/>
    <col min="6" max="6" width="8.7265625" style="4"/>
    <col min="7" max="7" width="8.7265625" style="3"/>
  </cols>
  <sheetData>
    <row r="1" spans="1:7" x14ac:dyDescent="0.35">
      <c r="A1" s="2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4" t="s">
        <v>10</v>
      </c>
      <c r="G1" s="3" t="s">
        <v>29</v>
      </c>
    </row>
    <row r="2" spans="1:7" x14ac:dyDescent="0.35">
      <c r="A2">
        <v>44360</v>
      </c>
      <c r="B2">
        <v>39056.39</v>
      </c>
      <c r="C2">
        <v>39017.370000000003</v>
      </c>
      <c r="D2">
        <v>35541.78</v>
      </c>
      <c r="E2">
        <v>39017.370000000003</v>
      </c>
      <c r="F2"/>
      <c r="G2"/>
    </row>
    <row r="3" spans="1:7" x14ac:dyDescent="0.35">
      <c r="A3">
        <v>44361</v>
      </c>
      <c r="B3">
        <v>40607.68</v>
      </c>
      <c r="C3">
        <v>40526.629999999997</v>
      </c>
      <c r="D3">
        <v>39017.370000000003</v>
      </c>
      <c r="E3">
        <v>40567.160000000003</v>
      </c>
      <c r="F3">
        <v>-3.9720514222255421E-2</v>
      </c>
      <c r="G3">
        <v>-2.8856038570347131E-2</v>
      </c>
    </row>
    <row r="4" spans="1:7" x14ac:dyDescent="0.35">
      <c r="A4">
        <v>44362</v>
      </c>
      <c r="B4">
        <v>40202.019999999997</v>
      </c>
      <c r="C4">
        <v>40161.86</v>
      </c>
      <c r="D4">
        <v>40567.160000000003</v>
      </c>
      <c r="E4">
        <v>40202.019999999997</v>
      </c>
      <c r="F4">
        <v>9.0008765710986038E-3</v>
      </c>
      <c r="G4">
        <v>1.4917974377643195E-2</v>
      </c>
    </row>
    <row r="5" spans="1:7" x14ac:dyDescent="0.35">
      <c r="A5">
        <v>44363</v>
      </c>
      <c r="B5">
        <v>38422.1</v>
      </c>
      <c r="C5">
        <v>38345.410000000003</v>
      </c>
      <c r="D5">
        <v>40202.019999999997</v>
      </c>
      <c r="E5">
        <v>38383.760000000002</v>
      </c>
      <c r="F5">
        <v>4.5228075604161089E-2</v>
      </c>
      <c r="G5">
        <v>6.9153955024374936E-2</v>
      </c>
    </row>
    <row r="6" spans="1:7" x14ac:dyDescent="0.35">
      <c r="A6">
        <v>44364</v>
      </c>
      <c r="B6">
        <v>38158.46</v>
      </c>
      <c r="C6">
        <v>38082.300000000003</v>
      </c>
      <c r="D6">
        <v>38383.760000000002</v>
      </c>
      <c r="E6">
        <v>38120.379999999997</v>
      </c>
      <c r="F6">
        <v>6.8617561176915753E-3</v>
      </c>
      <c r="G6">
        <v>-1.9470372091059396E-3</v>
      </c>
    </row>
    <row r="7" spans="1:7" x14ac:dyDescent="0.35">
      <c r="A7">
        <v>44365</v>
      </c>
      <c r="B7">
        <v>35901.949999999997</v>
      </c>
      <c r="C7">
        <v>35830.29</v>
      </c>
      <c r="D7">
        <v>38120.379999999997</v>
      </c>
      <c r="E7">
        <v>35866.120000000003</v>
      </c>
      <c r="F7">
        <v>5.9135297182241975E-2</v>
      </c>
      <c r="G7">
        <v>5.8483081890646549E-2</v>
      </c>
    </row>
    <row r="8" spans="1:7" x14ac:dyDescent="0.35">
      <c r="A8">
        <v>44366</v>
      </c>
      <c r="B8">
        <v>35586.410000000003</v>
      </c>
      <c r="C8">
        <v>35515.379999999997</v>
      </c>
      <c r="D8">
        <v>35866.120000000003</v>
      </c>
      <c r="E8">
        <v>35550.9</v>
      </c>
      <c r="F8">
        <v>8.7887956656588218E-3</v>
      </c>
      <c r="G8">
        <v>2.9978912682387393E-2</v>
      </c>
    </row>
    <row r="9" spans="1:7" x14ac:dyDescent="0.35">
      <c r="A9">
        <v>44367</v>
      </c>
      <c r="B9">
        <v>35637.86</v>
      </c>
      <c r="C9">
        <v>35602.26</v>
      </c>
      <c r="D9">
        <v>35550.9</v>
      </c>
      <c r="E9">
        <v>35637.86</v>
      </c>
      <c r="F9">
        <v>-2.4460702823274616E-3</v>
      </c>
      <c r="G9">
        <v>-3.5534775524898254E-2</v>
      </c>
    </row>
    <row r="10" spans="1:7" x14ac:dyDescent="0.35">
      <c r="A10">
        <v>44368</v>
      </c>
      <c r="B10">
        <v>31684.27</v>
      </c>
      <c r="C10">
        <v>31652.62</v>
      </c>
      <c r="D10">
        <v>35637.86</v>
      </c>
      <c r="E10">
        <v>31652.62</v>
      </c>
      <c r="F10">
        <v>0.11182601873400932</v>
      </c>
      <c r="G10">
        <v>0.15854430379746831</v>
      </c>
    </row>
    <row r="11" spans="1:7" x14ac:dyDescent="0.35">
      <c r="A11">
        <v>44369</v>
      </c>
      <c r="B11">
        <v>32570.12</v>
      </c>
      <c r="C11">
        <v>32537.58</v>
      </c>
      <c r="D11">
        <v>31652.62</v>
      </c>
      <c r="E11">
        <v>32537.58</v>
      </c>
      <c r="F11">
        <v>-2.7958507068293281E-2</v>
      </c>
      <c r="G11">
        <v>3.7396246603351724E-3</v>
      </c>
    </row>
    <row r="12" spans="1:7" x14ac:dyDescent="0.35">
      <c r="A12">
        <v>44370</v>
      </c>
      <c r="B12">
        <v>33712.32</v>
      </c>
      <c r="C12">
        <v>33678.639999999999</v>
      </c>
      <c r="D12">
        <v>32537.58</v>
      </c>
      <c r="E12">
        <v>33712.32</v>
      </c>
      <c r="F12">
        <v>-3.6104098706787546E-2</v>
      </c>
      <c r="G12">
        <v>-4.6644300654498316E-2</v>
      </c>
    </row>
    <row r="13" spans="1:7" x14ac:dyDescent="0.35">
      <c r="A13">
        <v>44371</v>
      </c>
      <c r="B13">
        <v>34719.14</v>
      </c>
      <c r="C13">
        <v>34649.839999999997</v>
      </c>
      <c r="D13">
        <v>33712.32</v>
      </c>
      <c r="E13">
        <v>34684.49</v>
      </c>
      <c r="F13">
        <v>-2.8837232204725005E-2</v>
      </c>
      <c r="G13">
        <v>-1.0388304141098148E-2</v>
      </c>
    </row>
    <row r="14" spans="1:7" x14ac:dyDescent="0.35">
      <c r="A14">
        <v>44372</v>
      </c>
      <c r="B14">
        <v>31625.45</v>
      </c>
      <c r="C14">
        <v>31590.7</v>
      </c>
      <c r="D14">
        <v>34684.49</v>
      </c>
      <c r="E14">
        <v>31593.86</v>
      </c>
      <c r="F14">
        <v>8.9106975480971351E-2</v>
      </c>
      <c r="G14">
        <v>8.9863801589735615E-2</v>
      </c>
    </row>
    <row r="15" spans="1:7" x14ac:dyDescent="0.35">
      <c r="A15">
        <v>44373</v>
      </c>
      <c r="B15">
        <v>32339.66</v>
      </c>
      <c r="C15">
        <v>32307.35</v>
      </c>
      <c r="D15">
        <v>31593.86</v>
      </c>
      <c r="E15">
        <v>32307.35</v>
      </c>
      <c r="F15">
        <v>-2.2583185467049516E-2</v>
      </c>
      <c r="G15">
        <v>-1.1418186237412087E-2</v>
      </c>
    </row>
    <row r="16" spans="1:7" x14ac:dyDescent="0.35">
      <c r="A16">
        <v>44374</v>
      </c>
      <c r="B16">
        <v>34748.519999999997</v>
      </c>
      <c r="C16">
        <v>34713.81</v>
      </c>
      <c r="D16">
        <v>32307.35</v>
      </c>
      <c r="E16">
        <v>34748.519999999997</v>
      </c>
      <c r="F16">
        <v>-7.5560824394449E-2</v>
      </c>
      <c r="G16">
        <v>-8.3230471779522919E-2</v>
      </c>
    </row>
    <row r="17" spans="1:7" x14ac:dyDescent="0.35">
      <c r="A17">
        <v>44375</v>
      </c>
      <c r="B17">
        <v>34521.599999999999</v>
      </c>
      <c r="C17">
        <v>34487.11</v>
      </c>
      <c r="D17">
        <v>34748.519999999997</v>
      </c>
      <c r="E17">
        <v>34521.599999999999</v>
      </c>
      <c r="F17">
        <v>6.5303500695856886E-3</v>
      </c>
      <c r="G17">
        <v>-5.0657227995341225E-2</v>
      </c>
    </row>
    <row r="18" spans="1:7" x14ac:dyDescent="0.35">
      <c r="A18">
        <v>44376</v>
      </c>
      <c r="B18">
        <v>35973.21</v>
      </c>
      <c r="C18">
        <v>35901.410000000003</v>
      </c>
      <c r="D18">
        <v>34521.599999999999</v>
      </c>
      <c r="E18">
        <v>35901.410000000003</v>
      </c>
      <c r="F18">
        <v>-3.996946839080473E-2</v>
      </c>
      <c r="G18">
        <v>-3.9260005758710026E-2</v>
      </c>
    </row>
    <row r="19" spans="1:7" x14ac:dyDescent="0.35">
      <c r="A19">
        <v>44377</v>
      </c>
      <c r="B19">
        <v>35126.5</v>
      </c>
      <c r="C19">
        <v>35056.39</v>
      </c>
      <c r="D19">
        <v>35901.410000000003</v>
      </c>
      <c r="E19">
        <v>35091.449999999997</v>
      </c>
      <c r="F19">
        <v>2.2560673800834152E-2</v>
      </c>
      <c r="G19">
        <v>-5.103873735344755E-2</v>
      </c>
    </row>
    <row r="20" spans="1:7" x14ac:dyDescent="0.35">
      <c r="A20">
        <v>44378</v>
      </c>
      <c r="B20">
        <v>33610.199999999997</v>
      </c>
      <c r="C20">
        <v>33543.11</v>
      </c>
      <c r="D20">
        <v>35091.449999999997</v>
      </c>
      <c r="E20">
        <v>33543.11</v>
      </c>
      <c r="F20">
        <v>4.4122998622171394E-2</v>
      </c>
      <c r="G20">
        <v>7.3303926823481858E-2</v>
      </c>
    </row>
    <row r="21" spans="1:7" x14ac:dyDescent="0.35">
      <c r="A21">
        <v>44379</v>
      </c>
      <c r="B21">
        <v>33838.339999999997</v>
      </c>
      <c r="C21">
        <v>33804.54</v>
      </c>
      <c r="D21">
        <v>33543.11</v>
      </c>
      <c r="E21">
        <v>33838.339999999997</v>
      </c>
      <c r="F21">
        <v>-8.8015094605120581E-3</v>
      </c>
      <c r="G21">
        <v>-2.1978959744748394E-2</v>
      </c>
    </row>
    <row r="22" spans="1:7" x14ac:dyDescent="0.35">
      <c r="A22">
        <v>44380</v>
      </c>
      <c r="B22">
        <v>34717.519999999997</v>
      </c>
      <c r="C22">
        <v>34682.839999999997</v>
      </c>
      <c r="D22">
        <v>33838.339999999997</v>
      </c>
      <c r="E22">
        <v>34682.839999999997</v>
      </c>
      <c r="F22">
        <v>-2.4956898003861916E-2</v>
      </c>
      <c r="G22">
        <v>-3.3182566743209518E-2</v>
      </c>
    </row>
    <row r="23" spans="1:7" x14ac:dyDescent="0.35">
      <c r="A23">
        <v>44381</v>
      </c>
      <c r="B23">
        <v>35323.26</v>
      </c>
      <c r="C23">
        <v>35287.97</v>
      </c>
      <c r="D23">
        <v>34682.839999999997</v>
      </c>
      <c r="E23">
        <v>35287.97</v>
      </c>
      <c r="F23">
        <v>-1.7447533131658366E-2</v>
      </c>
      <c r="G23">
        <v>-4.314424518898341E-2</v>
      </c>
    </row>
    <row r="24" spans="1:7" x14ac:dyDescent="0.35">
      <c r="A24">
        <v>44382</v>
      </c>
      <c r="B24">
        <v>33770.199999999997</v>
      </c>
      <c r="C24">
        <v>33702.79</v>
      </c>
      <c r="D24">
        <v>35287.97</v>
      </c>
      <c r="E24">
        <v>33702.79</v>
      </c>
      <c r="F24">
        <v>4.492125786776624E-2</v>
      </c>
      <c r="G24">
        <v>5.447494264549535E-2</v>
      </c>
    </row>
    <row r="25" spans="1:7" x14ac:dyDescent="0.35">
      <c r="A25">
        <v>44383</v>
      </c>
      <c r="B25">
        <v>34271.9</v>
      </c>
      <c r="C25">
        <v>34237.660000000003</v>
      </c>
      <c r="D25">
        <v>33702.79</v>
      </c>
      <c r="E25">
        <v>34271.9</v>
      </c>
      <c r="F25">
        <v>-1.6886139100056763E-2</v>
      </c>
      <c r="G25">
        <v>-5.7322086210742418E-2</v>
      </c>
    </row>
    <row r="26" spans="1:7" x14ac:dyDescent="0.35">
      <c r="A26">
        <v>44384</v>
      </c>
      <c r="B26">
        <v>34050.19</v>
      </c>
      <c r="C26">
        <v>33880.79</v>
      </c>
      <c r="D26">
        <v>34271.9</v>
      </c>
      <c r="E26">
        <v>33914.67</v>
      </c>
      <c r="F26">
        <v>1.0423408098179654E-2</v>
      </c>
      <c r="G26">
        <v>2.3723106995088283E-3</v>
      </c>
    </row>
    <row r="27" spans="1:7" x14ac:dyDescent="0.35">
      <c r="A27">
        <v>44385</v>
      </c>
      <c r="B27">
        <v>32972.629999999997</v>
      </c>
      <c r="C27">
        <v>32870.720000000001</v>
      </c>
      <c r="D27">
        <v>33914.67</v>
      </c>
      <c r="E27">
        <v>32874.01</v>
      </c>
      <c r="F27">
        <v>3.0684656521794196E-2</v>
      </c>
      <c r="G27">
        <v>8.7440443308935079E-2</v>
      </c>
    </row>
    <row r="28" spans="1:7" x14ac:dyDescent="0.35">
      <c r="A28">
        <v>44386</v>
      </c>
      <c r="B28">
        <v>33838</v>
      </c>
      <c r="C28">
        <v>33804.199999999997</v>
      </c>
      <c r="D28">
        <v>32874.01</v>
      </c>
      <c r="E28">
        <v>33804.199999999997</v>
      </c>
      <c r="F28">
        <v>-2.8295604947494946E-2</v>
      </c>
      <c r="G28">
        <v>-1.4736274597897392E-2</v>
      </c>
    </row>
    <row r="29" spans="1:7" x14ac:dyDescent="0.35">
      <c r="A29">
        <v>44387</v>
      </c>
      <c r="B29">
        <v>33548.65</v>
      </c>
      <c r="C29">
        <v>33511.78</v>
      </c>
      <c r="D29">
        <v>33804.199999999997</v>
      </c>
      <c r="E29">
        <v>33548.65</v>
      </c>
      <c r="F29">
        <v>7.5597115151370131E-3</v>
      </c>
      <c r="G29">
        <v>1.6405132196470218E-2</v>
      </c>
    </row>
    <row r="30" spans="1:7" x14ac:dyDescent="0.35">
      <c r="A30">
        <v>44388</v>
      </c>
      <c r="B30">
        <v>34283.550000000003</v>
      </c>
      <c r="C30">
        <v>34249.300000000003</v>
      </c>
      <c r="D30">
        <v>33548.65</v>
      </c>
      <c r="E30">
        <v>34283.550000000003</v>
      </c>
      <c r="F30">
        <v>-2.1905501413618689E-2</v>
      </c>
      <c r="G30">
        <v>-1.4205366577113132E-2</v>
      </c>
    </row>
    <row r="31" spans="1:7" x14ac:dyDescent="0.35">
      <c r="A31">
        <v>44389</v>
      </c>
      <c r="B31">
        <v>33121.599999999999</v>
      </c>
      <c r="C31">
        <v>33068.660000000003</v>
      </c>
      <c r="D31">
        <v>34283.550000000003</v>
      </c>
      <c r="E31">
        <v>33121.599999999999</v>
      </c>
      <c r="F31">
        <v>3.3892347787787602E-2</v>
      </c>
      <c r="G31">
        <v>5.0255787334438917E-2</v>
      </c>
    </row>
    <row r="32" spans="1:7" x14ac:dyDescent="0.35">
      <c r="A32">
        <v>44390</v>
      </c>
      <c r="B32">
        <v>32770.21</v>
      </c>
      <c r="C32">
        <v>32717.83</v>
      </c>
      <c r="D32">
        <v>33121.599999999999</v>
      </c>
      <c r="E32">
        <v>32737.47</v>
      </c>
      <c r="F32">
        <v>1.1597567750350146E-2</v>
      </c>
      <c r="G32">
        <v>4.5388807996536995E-2</v>
      </c>
    </row>
    <row r="33" spans="1:7" x14ac:dyDescent="0.35">
      <c r="A33">
        <v>44391</v>
      </c>
      <c r="B33">
        <v>32853.32</v>
      </c>
      <c r="C33">
        <v>32820.5</v>
      </c>
      <c r="D33">
        <v>32737.47</v>
      </c>
      <c r="E33">
        <v>32820.5</v>
      </c>
      <c r="F33">
        <v>-2.5362375284345706E-3</v>
      </c>
      <c r="G33">
        <v>-2.7625334302100901E-2</v>
      </c>
    </row>
    <row r="34" spans="1:7" x14ac:dyDescent="0.35">
      <c r="A34">
        <v>44392</v>
      </c>
      <c r="B34">
        <v>31899.33</v>
      </c>
      <c r="C34">
        <v>31848.34</v>
      </c>
      <c r="D34">
        <v>32820.5</v>
      </c>
      <c r="E34">
        <v>31861.09</v>
      </c>
      <c r="F34">
        <v>2.9232034856263578E-2</v>
      </c>
      <c r="G34">
        <v>3.8135210759093763E-2</v>
      </c>
    </row>
    <row r="35" spans="1:7" x14ac:dyDescent="0.35">
      <c r="A35">
        <v>44393</v>
      </c>
      <c r="B35">
        <v>31433.16</v>
      </c>
      <c r="C35">
        <v>31392.34</v>
      </c>
      <c r="D35">
        <v>31861.09</v>
      </c>
      <c r="E35">
        <v>31401.759999999998</v>
      </c>
      <c r="F35">
        <v>1.441664425165623E-2</v>
      </c>
      <c r="G35">
        <v>2.1437098901557317E-2</v>
      </c>
    </row>
    <row r="36" spans="1:7" x14ac:dyDescent="0.35">
      <c r="A36">
        <v>44394</v>
      </c>
      <c r="B36">
        <v>31578.19</v>
      </c>
      <c r="C36">
        <v>31543.49</v>
      </c>
      <c r="D36">
        <v>31401.759999999998</v>
      </c>
      <c r="E36">
        <v>31546.639999999999</v>
      </c>
      <c r="F36">
        <v>-4.6137541335262711E-3</v>
      </c>
      <c r="G36">
        <v>-1.2205322181082057E-2</v>
      </c>
    </row>
    <row r="37" spans="1:7" x14ac:dyDescent="0.35">
      <c r="A37">
        <v>44395</v>
      </c>
      <c r="B37">
        <v>31838.11</v>
      </c>
      <c r="C37">
        <v>31799.94</v>
      </c>
      <c r="D37">
        <v>31546.639999999999</v>
      </c>
      <c r="E37">
        <v>31806.3</v>
      </c>
      <c r="F37">
        <v>-8.2309875156276746E-3</v>
      </c>
      <c r="G37">
        <v>4.2106149603149401E-3</v>
      </c>
    </row>
    <row r="38" spans="1:7" x14ac:dyDescent="0.35">
      <c r="A38">
        <v>44396</v>
      </c>
      <c r="B38">
        <v>30878.400000000001</v>
      </c>
      <c r="C38">
        <v>30829.040000000001</v>
      </c>
      <c r="D38">
        <v>31806.3</v>
      </c>
      <c r="E38">
        <v>30847.55</v>
      </c>
      <c r="F38">
        <v>3.0143399263667936E-2</v>
      </c>
      <c r="G38">
        <v>3.8774604114251932E-2</v>
      </c>
    </row>
    <row r="39" spans="1:7" x14ac:dyDescent="0.35">
      <c r="A39">
        <v>44397</v>
      </c>
      <c r="B39">
        <v>29825.35</v>
      </c>
      <c r="C39">
        <v>29774.69</v>
      </c>
      <c r="D39">
        <v>30847.55</v>
      </c>
      <c r="E39">
        <v>29795.55</v>
      </c>
      <c r="F39">
        <v>3.4103194581093121E-2</v>
      </c>
      <c r="G39">
        <v>1.7639942813152953E-2</v>
      </c>
    </row>
    <row r="40" spans="1:7" x14ac:dyDescent="0.35">
      <c r="A40">
        <v>44398</v>
      </c>
      <c r="B40">
        <v>32139.48</v>
      </c>
      <c r="C40">
        <v>32113.77</v>
      </c>
      <c r="D40">
        <v>29795.55</v>
      </c>
      <c r="E40">
        <v>32139.48</v>
      </c>
      <c r="F40">
        <v>-7.8667116398254189E-2</v>
      </c>
      <c r="G40">
        <v>-0.11668495174977056</v>
      </c>
    </row>
    <row r="41" spans="1:7" x14ac:dyDescent="0.35">
      <c r="A41">
        <v>44399</v>
      </c>
      <c r="B41">
        <v>32299.47</v>
      </c>
      <c r="C41">
        <v>32286.55</v>
      </c>
      <c r="D41">
        <v>32139.48</v>
      </c>
      <c r="E41">
        <v>32299.47</v>
      </c>
      <c r="F41">
        <v>-4.9779896874497798E-3</v>
      </c>
      <c r="G41">
        <v>-1.4917442781381185E-2</v>
      </c>
    </row>
    <row r="42" spans="1:7" x14ac:dyDescent="0.35">
      <c r="A42">
        <v>44400</v>
      </c>
      <c r="B42">
        <v>33671.56</v>
      </c>
      <c r="C42">
        <v>33627.83</v>
      </c>
      <c r="D42">
        <v>32299.47</v>
      </c>
      <c r="E42">
        <v>33637.919999999998</v>
      </c>
      <c r="F42">
        <v>-4.1438760450248857E-2</v>
      </c>
      <c r="G42">
        <v>-4.9798986536543133E-2</v>
      </c>
    </row>
    <row r="43" spans="1:7" x14ac:dyDescent="0.35">
      <c r="A43">
        <v>44401</v>
      </c>
      <c r="B43">
        <v>34316.839999999997</v>
      </c>
      <c r="C43">
        <v>34279.129999999997</v>
      </c>
      <c r="D43">
        <v>33637.919999999998</v>
      </c>
      <c r="E43">
        <v>34282.559999999998</v>
      </c>
      <c r="F43">
        <v>-1.9164086245522904E-2</v>
      </c>
      <c r="G43">
        <v>-2.8420611882930213E-2</v>
      </c>
    </row>
    <row r="44" spans="1:7" x14ac:dyDescent="0.35">
      <c r="A44">
        <v>44402</v>
      </c>
      <c r="B44">
        <v>35369.93</v>
      </c>
      <c r="C44">
        <v>35362.86</v>
      </c>
      <c r="D44">
        <v>34282.559999999998</v>
      </c>
      <c r="E44">
        <v>35366.39</v>
      </c>
      <c r="F44">
        <v>-3.1614616878086199E-2</v>
      </c>
      <c r="G44">
        <v>-3.8243716776915626E-3</v>
      </c>
    </row>
    <row r="45" spans="1:7" x14ac:dyDescent="0.35">
      <c r="A45">
        <v>44403</v>
      </c>
      <c r="B45">
        <v>37269.519999999997</v>
      </c>
      <c r="C45">
        <v>37027.269999999997</v>
      </c>
      <c r="D45">
        <v>35366.39</v>
      </c>
      <c r="E45">
        <v>37254.61</v>
      </c>
      <c r="F45">
        <v>-5.3390238585278249E-2</v>
      </c>
      <c r="G45">
        <v>-1.564479524595086E-2</v>
      </c>
    </row>
    <row r="46" spans="1:7" x14ac:dyDescent="0.35">
      <c r="A46">
        <v>44404</v>
      </c>
      <c r="B46">
        <v>39496.69</v>
      </c>
      <c r="C46">
        <v>39457.19</v>
      </c>
      <c r="D46">
        <v>37254.61</v>
      </c>
      <c r="E46">
        <v>39480.89</v>
      </c>
      <c r="F46">
        <v>-5.9758510423273847E-2</v>
      </c>
      <c r="G46">
        <v>-3.289405789102906E-2</v>
      </c>
    </row>
    <row r="47" spans="1:7" x14ac:dyDescent="0.35">
      <c r="A47">
        <v>44405</v>
      </c>
      <c r="B47">
        <v>40030.01</v>
      </c>
      <c r="C47">
        <v>39985.980000000003</v>
      </c>
      <c r="D47">
        <v>39480.89</v>
      </c>
      <c r="E47">
        <v>40030.01</v>
      </c>
      <c r="F47">
        <v>-1.3908501049495259E-2</v>
      </c>
      <c r="G47">
        <v>3.7359142998638628E-4</v>
      </c>
    </row>
    <row r="48" spans="1:7" x14ac:dyDescent="0.35">
      <c r="A48">
        <v>44406</v>
      </c>
      <c r="B48">
        <v>40030.519999999997</v>
      </c>
      <c r="C48">
        <v>40014.51</v>
      </c>
      <c r="D48">
        <v>40030.01</v>
      </c>
      <c r="E48">
        <v>40030.519999999997</v>
      </c>
      <c r="F48">
        <v>-1.2740441483582998E-5</v>
      </c>
      <c r="G48">
        <v>-3.5686969823390369E-2</v>
      </c>
    </row>
    <row r="49" spans="1:7" x14ac:dyDescent="0.35">
      <c r="A49">
        <v>44407</v>
      </c>
      <c r="B49">
        <v>42274.06</v>
      </c>
      <c r="C49">
        <v>42160.04</v>
      </c>
      <c r="D49">
        <v>40030.519999999997</v>
      </c>
      <c r="E49">
        <v>42231.83</v>
      </c>
      <c r="F49">
        <v>-5.4990792025684465E-2</v>
      </c>
      <c r="G49">
        <v>-3.3722998942615989E-2</v>
      </c>
    </row>
    <row r="50" spans="1:7" x14ac:dyDescent="0.35">
      <c r="A50">
        <v>44408</v>
      </c>
      <c r="B50">
        <v>41516.19</v>
      </c>
      <c r="C50">
        <v>41242.46</v>
      </c>
      <c r="D50">
        <v>42231.83</v>
      </c>
      <c r="E50">
        <v>41516.19</v>
      </c>
      <c r="F50">
        <v>1.6945512425106779E-2</v>
      </c>
      <c r="G50">
        <v>-2.7658598560648784E-2</v>
      </c>
    </row>
    <row r="51" spans="1:7" x14ac:dyDescent="0.35">
      <c r="A51">
        <v>44409</v>
      </c>
      <c r="B51">
        <v>39910.629999999997</v>
      </c>
      <c r="C51">
        <v>39791.019999999997</v>
      </c>
      <c r="D51">
        <v>41516.19</v>
      </c>
      <c r="E51">
        <v>39866.769999999997</v>
      </c>
      <c r="F51">
        <v>3.9729560925508944E-2</v>
      </c>
      <c r="G51">
        <v>-9.7402982126986171E-3</v>
      </c>
    </row>
    <row r="52" spans="1:7" x14ac:dyDescent="0.35">
      <c r="A52">
        <v>44410</v>
      </c>
      <c r="B52">
        <v>39197.69</v>
      </c>
      <c r="C52">
        <v>39127.199999999997</v>
      </c>
      <c r="D52">
        <v>39866.769999999997</v>
      </c>
      <c r="E52">
        <v>39158.53</v>
      </c>
      <c r="F52">
        <v>1.7765171344455544E-2</v>
      </c>
      <c r="G52">
        <v>-2.0352760316224794E-2</v>
      </c>
    </row>
    <row r="53" spans="1:7" x14ac:dyDescent="0.35">
      <c r="A53">
        <v>44411</v>
      </c>
      <c r="B53">
        <v>38189.300000000003</v>
      </c>
      <c r="C53">
        <v>38120.559999999998</v>
      </c>
      <c r="D53">
        <v>39158.53</v>
      </c>
      <c r="E53">
        <v>38181.660000000003</v>
      </c>
      <c r="F53">
        <v>2.494654421399356E-2</v>
      </c>
      <c r="G53">
        <v>3.8425265676036213E-2</v>
      </c>
    </row>
    <row r="54" spans="1:7" x14ac:dyDescent="0.35">
      <c r="A54">
        <v>44412</v>
      </c>
      <c r="B54">
        <v>39818.04</v>
      </c>
      <c r="C54">
        <v>39706.769999999997</v>
      </c>
      <c r="D54">
        <v>38181.660000000003</v>
      </c>
      <c r="E54">
        <v>39778.300000000003</v>
      </c>
      <c r="F54">
        <v>-4.1816935146350431E-2</v>
      </c>
      <c r="G54">
        <v>-8.6719214100892561E-2</v>
      </c>
    </row>
    <row r="55" spans="1:7" x14ac:dyDescent="0.35">
      <c r="A55">
        <v>44413</v>
      </c>
      <c r="B55">
        <v>42319.27</v>
      </c>
      <c r="C55">
        <v>40863.65</v>
      </c>
      <c r="D55">
        <v>39778.300000000003</v>
      </c>
      <c r="E55">
        <v>40888.18</v>
      </c>
      <c r="F55">
        <v>-2.7901644866673569E-2</v>
      </c>
      <c r="G55">
        <v>-3.7975287263548818E-2</v>
      </c>
    </row>
    <row r="56" spans="1:7" x14ac:dyDescent="0.35">
      <c r="A56">
        <v>44414</v>
      </c>
      <c r="B56">
        <v>42895.03</v>
      </c>
      <c r="C56">
        <v>42822.18</v>
      </c>
      <c r="D56">
        <v>40888.18</v>
      </c>
      <c r="E56">
        <v>42852.18</v>
      </c>
      <c r="F56">
        <v>-4.8033441449338188E-2</v>
      </c>
      <c r="G56">
        <v>-2.2313491656740458E-2</v>
      </c>
    </row>
    <row r="57" spans="1:7" x14ac:dyDescent="0.35">
      <c r="A57">
        <v>44415</v>
      </c>
      <c r="B57">
        <v>44662.58</v>
      </c>
      <c r="C57">
        <v>44426.1</v>
      </c>
      <c r="D57">
        <v>42852.18</v>
      </c>
      <c r="E57">
        <v>44617.96</v>
      </c>
      <c r="F57">
        <v>-4.1206305023455014E-2</v>
      </c>
      <c r="G57">
        <v>-9.3373577286368192E-2</v>
      </c>
    </row>
    <row r="58" spans="1:7" x14ac:dyDescent="0.35">
      <c r="A58">
        <v>44416</v>
      </c>
      <c r="B58">
        <v>43871.58</v>
      </c>
      <c r="C58">
        <v>43705.03</v>
      </c>
      <c r="D58">
        <v>44617.96</v>
      </c>
      <c r="E58">
        <v>43827.75</v>
      </c>
      <c r="F58">
        <v>1.771058112024837E-2</v>
      </c>
      <c r="G58">
        <v>4.7014479371875417E-2</v>
      </c>
    </row>
    <row r="59" spans="1:7" x14ac:dyDescent="0.35">
      <c r="A59">
        <v>44417</v>
      </c>
      <c r="B59">
        <v>46338.9</v>
      </c>
      <c r="C59">
        <v>46250.95</v>
      </c>
      <c r="D59">
        <v>43827.75</v>
      </c>
      <c r="E59">
        <v>46338.9</v>
      </c>
      <c r="F59">
        <v>-5.729589130174384E-2</v>
      </c>
      <c r="G59">
        <v>-5.0166735794276329E-2</v>
      </c>
    </row>
    <row r="60" spans="1:7" x14ac:dyDescent="0.35">
      <c r="A60">
        <v>44418</v>
      </c>
      <c r="B60">
        <v>45646.63</v>
      </c>
      <c r="C60">
        <v>45582.79</v>
      </c>
      <c r="D60">
        <v>46338.9</v>
      </c>
      <c r="E60">
        <v>45601.03</v>
      </c>
      <c r="F60">
        <v>1.5923338706788526E-2</v>
      </c>
      <c r="G60">
        <v>7.3524300618652561E-3</v>
      </c>
    </row>
    <row r="61" spans="1:7" x14ac:dyDescent="0.35">
      <c r="A61">
        <v>44419</v>
      </c>
      <c r="B61">
        <v>45602.25</v>
      </c>
      <c r="C61">
        <v>45538.47</v>
      </c>
      <c r="D61">
        <v>45601.03</v>
      </c>
      <c r="E61">
        <v>45547.58</v>
      </c>
      <c r="F61">
        <v>1.1721226472296564E-3</v>
      </c>
      <c r="G61">
        <v>-6.9230695776449913E-3</v>
      </c>
    </row>
    <row r="62" spans="1:7" x14ac:dyDescent="0.35">
      <c r="A62">
        <v>44420</v>
      </c>
      <c r="B62">
        <v>47680.44</v>
      </c>
      <c r="C62">
        <v>42394.37</v>
      </c>
      <c r="D62">
        <v>45614.21</v>
      </c>
      <c r="E62">
        <v>44492.88</v>
      </c>
      <c r="F62">
        <v>2.3156005214766684E-2</v>
      </c>
      <c r="G62">
        <v>3.0681983423004211E-2</v>
      </c>
    </row>
    <row r="63" spans="1:7" x14ac:dyDescent="0.35">
      <c r="A63"/>
      <c r="B63"/>
      <c r="C63"/>
      <c r="D63"/>
      <c r="E63"/>
      <c r="F63"/>
      <c r="G63"/>
    </row>
    <row r="64" spans="1:7" x14ac:dyDescent="0.35">
      <c r="A64"/>
      <c r="B64"/>
      <c r="C64"/>
      <c r="D64"/>
      <c r="E64"/>
      <c r="F64"/>
      <c r="G64"/>
    </row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B68BE-E8E0-4A06-AD68-AE2406B38E0F}">
  <sheetPr>
    <tabColor rgb="FFC6E0B4"/>
  </sheetPr>
  <dimension ref="A1:G99"/>
  <sheetViews>
    <sheetView workbookViewId="0"/>
  </sheetViews>
  <sheetFormatPr defaultRowHeight="14.5" x14ac:dyDescent="0.35"/>
  <cols>
    <col min="1" max="1" width="8.7265625" style="2"/>
    <col min="2" max="5" width="8.7265625" style="3"/>
    <col min="6" max="6" width="8.7265625" style="4"/>
    <col min="7" max="7" width="8.7265625" style="3"/>
  </cols>
  <sheetData>
    <row r="1" spans="1:7" x14ac:dyDescent="0.35">
      <c r="A1" s="2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4" t="s">
        <v>10</v>
      </c>
      <c r="G1" s="3" t="s">
        <v>29</v>
      </c>
    </row>
    <row r="2" spans="1:7" x14ac:dyDescent="0.35">
      <c r="A2">
        <v>44360</v>
      </c>
      <c r="B2">
        <v>1.008</v>
      </c>
      <c r="C2">
        <v>0.89090000000000003</v>
      </c>
      <c r="D2">
        <v>1.0009999999999999</v>
      </c>
      <c r="E2">
        <v>0.99890000000000001</v>
      </c>
      <c r="F2"/>
      <c r="G2"/>
    </row>
    <row r="3" spans="1:7" x14ac:dyDescent="0.35">
      <c r="A3">
        <v>44361</v>
      </c>
      <c r="B3">
        <v>1.012</v>
      </c>
      <c r="C3">
        <v>0.95640000000000003</v>
      </c>
      <c r="D3">
        <v>0.99890000000000001</v>
      </c>
      <c r="E3">
        <v>1</v>
      </c>
      <c r="F3">
        <v>-1.101211332465768E-3</v>
      </c>
      <c r="G3">
        <v>-2.8856038570347131E-2</v>
      </c>
    </row>
    <row r="4" spans="1:7" x14ac:dyDescent="0.35">
      <c r="A4">
        <v>44362</v>
      </c>
      <c r="B4">
        <v>1.0289999999999999</v>
      </c>
      <c r="C4">
        <v>0.98440000000000005</v>
      </c>
      <c r="D4">
        <v>1</v>
      </c>
      <c r="E4">
        <v>1</v>
      </c>
      <c r="F4">
        <v>0</v>
      </c>
      <c r="G4">
        <v>1.4917974377643195E-2</v>
      </c>
    </row>
    <row r="5" spans="1:7" x14ac:dyDescent="0.35">
      <c r="A5">
        <v>44363</v>
      </c>
      <c r="B5">
        <v>1.056</v>
      </c>
      <c r="C5">
        <v>0.99429999999999996</v>
      </c>
      <c r="D5">
        <v>1</v>
      </c>
      <c r="E5">
        <v>1</v>
      </c>
      <c r="F5">
        <v>0</v>
      </c>
      <c r="G5">
        <v>6.9153955024374936E-2</v>
      </c>
    </row>
    <row r="6" spans="1:7" x14ac:dyDescent="0.35">
      <c r="A6">
        <v>44364</v>
      </c>
      <c r="B6">
        <v>1.0389999999999999</v>
      </c>
      <c r="C6">
        <v>0.98240000000000005</v>
      </c>
      <c r="D6">
        <v>1</v>
      </c>
      <c r="E6">
        <v>1.0009999999999999</v>
      </c>
      <c r="F6">
        <v>-9.9999999999988987E-4</v>
      </c>
      <c r="G6">
        <v>-1.9470372091059396E-3</v>
      </c>
    </row>
    <row r="7" spans="1:7" x14ac:dyDescent="0.35">
      <c r="A7">
        <v>44365</v>
      </c>
      <c r="B7">
        <v>1.0669999999999999</v>
      </c>
      <c r="C7">
        <v>0.98229999999999995</v>
      </c>
      <c r="D7">
        <v>1.0009999999999999</v>
      </c>
      <c r="E7">
        <v>1.0009999999999999</v>
      </c>
      <c r="F7">
        <v>0</v>
      </c>
      <c r="G7">
        <v>5.8483081890646549E-2</v>
      </c>
    </row>
    <row r="8" spans="1:7" x14ac:dyDescent="0.35">
      <c r="A8">
        <v>44366</v>
      </c>
      <c r="B8">
        <v>1.026</v>
      </c>
      <c r="C8">
        <v>0.98160000000000003</v>
      </c>
      <c r="D8">
        <v>1.0009999999999999</v>
      </c>
      <c r="E8">
        <v>0.99990000000000001</v>
      </c>
      <c r="F8">
        <v>1.098901098900984E-3</v>
      </c>
      <c r="G8">
        <v>2.9978912682387393E-2</v>
      </c>
    </row>
    <row r="9" spans="1:7" x14ac:dyDescent="0.35">
      <c r="A9">
        <v>44367</v>
      </c>
      <c r="B9">
        <v>1.0149999999999999</v>
      </c>
      <c r="C9">
        <v>0.93779999999999997</v>
      </c>
      <c r="D9">
        <v>0.99990000000000001</v>
      </c>
      <c r="E9">
        <v>1</v>
      </c>
      <c r="F9">
        <v>-1.0001000100001711E-4</v>
      </c>
      <c r="G9">
        <v>-3.5534775524898254E-2</v>
      </c>
    </row>
    <row r="10" spans="1:7" x14ac:dyDescent="0.35">
      <c r="A10">
        <v>44368</v>
      </c>
      <c r="B10">
        <v>1.1299999999999999</v>
      </c>
      <c r="C10">
        <v>0.98899999999999999</v>
      </c>
      <c r="D10">
        <v>1</v>
      </c>
      <c r="E10">
        <v>1.0009999999999999</v>
      </c>
      <c r="F10">
        <v>-9.9999999999988987E-4</v>
      </c>
      <c r="G10">
        <v>0.15854430379746831</v>
      </c>
    </row>
    <row r="11" spans="1:7" x14ac:dyDescent="0.35">
      <c r="A11">
        <v>44369</v>
      </c>
      <c r="B11">
        <v>1.0249999999999999</v>
      </c>
      <c r="C11">
        <v>0.88949999999999996</v>
      </c>
      <c r="D11">
        <v>1.0009999999999999</v>
      </c>
      <c r="E11">
        <v>1.0009999999999999</v>
      </c>
      <c r="F11">
        <v>0</v>
      </c>
      <c r="G11">
        <v>3.7396246603351724E-3</v>
      </c>
    </row>
    <row r="12" spans="1:7" x14ac:dyDescent="0.35">
      <c r="A12">
        <v>44370</v>
      </c>
      <c r="B12">
        <v>1.034</v>
      </c>
      <c r="C12">
        <v>0.94410000000000005</v>
      </c>
      <c r="D12">
        <v>1.0009999999999999</v>
      </c>
      <c r="E12">
        <v>1</v>
      </c>
      <c r="F12">
        <v>9.9900099900085415E-4</v>
      </c>
      <c r="G12">
        <v>-4.6644300654498316E-2</v>
      </c>
    </row>
    <row r="13" spans="1:7" x14ac:dyDescent="0.35">
      <c r="A13">
        <v>44371</v>
      </c>
      <c r="B13">
        <v>1.018</v>
      </c>
      <c r="C13">
        <v>0.93340000000000001</v>
      </c>
      <c r="D13">
        <v>1</v>
      </c>
      <c r="E13">
        <v>1</v>
      </c>
      <c r="F13">
        <v>0</v>
      </c>
      <c r="G13">
        <v>-1.0388304141098148E-2</v>
      </c>
    </row>
    <row r="14" spans="1:7" x14ac:dyDescent="0.35">
      <c r="A14">
        <v>44372</v>
      </c>
      <c r="B14">
        <v>1.123</v>
      </c>
      <c r="C14">
        <v>0.98960000000000004</v>
      </c>
      <c r="D14">
        <v>1</v>
      </c>
      <c r="E14">
        <v>0.99919999999999998</v>
      </c>
      <c r="F14">
        <v>8.0000000000002292E-4</v>
      </c>
      <c r="G14">
        <v>8.9863801589735615E-2</v>
      </c>
    </row>
    <row r="15" spans="1:7" x14ac:dyDescent="0.35">
      <c r="A15">
        <v>44373</v>
      </c>
      <c r="B15">
        <v>1.0129999999999999</v>
      </c>
      <c r="C15">
        <v>0.93620000000000003</v>
      </c>
      <c r="D15">
        <v>0.99919999999999998</v>
      </c>
      <c r="E15">
        <v>1.002</v>
      </c>
      <c r="F15">
        <v>-2.802241793434801E-3</v>
      </c>
      <c r="G15">
        <v>-1.1418186237412087E-2</v>
      </c>
    </row>
    <row r="16" spans="1:7" x14ac:dyDescent="0.35">
      <c r="A16">
        <v>44374</v>
      </c>
      <c r="B16">
        <v>1.002</v>
      </c>
      <c r="C16">
        <v>0.92379999999999995</v>
      </c>
      <c r="D16">
        <v>1.002</v>
      </c>
      <c r="E16">
        <v>1.0009999999999999</v>
      </c>
      <c r="F16">
        <v>9.9800399201610546E-4</v>
      </c>
      <c r="G16">
        <v>-8.3230471779522919E-2</v>
      </c>
    </row>
    <row r="17" spans="1:7" x14ac:dyDescent="0.35">
      <c r="A17">
        <v>44375</v>
      </c>
      <c r="B17">
        <v>1.024</v>
      </c>
      <c r="C17">
        <v>0.98299999999999998</v>
      </c>
      <c r="D17">
        <v>1.0009999999999999</v>
      </c>
      <c r="E17">
        <v>1</v>
      </c>
      <c r="F17">
        <v>9.9900099900085415E-4</v>
      </c>
      <c r="G17">
        <v>-5.0657227995341225E-2</v>
      </c>
    </row>
    <row r="18" spans="1:7" x14ac:dyDescent="0.35">
      <c r="A18">
        <v>44376</v>
      </c>
      <c r="B18">
        <v>1.0209999999999999</v>
      </c>
      <c r="C18">
        <v>0.95420000000000005</v>
      </c>
      <c r="D18">
        <v>1</v>
      </c>
      <c r="E18">
        <v>1</v>
      </c>
      <c r="F18">
        <v>0</v>
      </c>
      <c r="G18">
        <v>-3.9260005758710026E-2</v>
      </c>
    </row>
    <row r="19" spans="1:7" x14ac:dyDescent="0.35">
      <c r="A19">
        <v>44377</v>
      </c>
      <c r="B19">
        <v>1.03</v>
      </c>
      <c r="C19">
        <v>0.97230000000000005</v>
      </c>
      <c r="D19">
        <v>1</v>
      </c>
      <c r="E19">
        <v>1.0009999999999999</v>
      </c>
      <c r="F19">
        <v>-9.9999999999988987E-4</v>
      </c>
      <c r="G19">
        <v>-5.103873735344755E-2</v>
      </c>
    </row>
    <row r="20" spans="1:7" x14ac:dyDescent="0.35">
      <c r="A20">
        <v>44378</v>
      </c>
      <c r="B20">
        <v>1.046</v>
      </c>
      <c r="C20">
        <v>0.97689999999999999</v>
      </c>
      <c r="D20">
        <v>1.0009999999999999</v>
      </c>
      <c r="E20">
        <v>1</v>
      </c>
      <c r="F20">
        <v>9.9900099900085415E-4</v>
      </c>
      <c r="G20">
        <v>7.3303926823481858E-2</v>
      </c>
    </row>
    <row r="21" spans="1:7" x14ac:dyDescent="0.35">
      <c r="A21">
        <v>44379</v>
      </c>
      <c r="B21">
        <v>1.0049999999999999</v>
      </c>
      <c r="C21">
        <v>0.96750000000000003</v>
      </c>
      <c r="D21">
        <v>1</v>
      </c>
      <c r="E21">
        <v>0.99970000000000003</v>
      </c>
      <c r="F21">
        <v>2.9999999999996696E-4</v>
      </c>
      <c r="G21">
        <v>-2.1978959744748394E-2</v>
      </c>
    </row>
    <row r="22" spans="1:7" x14ac:dyDescent="0.35">
      <c r="A22">
        <v>44380</v>
      </c>
      <c r="B22">
        <v>1.008</v>
      </c>
      <c r="C22">
        <v>0.96109999999999995</v>
      </c>
      <c r="D22">
        <v>0.99970000000000003</v>
      </c>
      <c r="E22">
        <v>1</v>
      </c>
      <c r="F22">
        <v>-3.0009002700803755E-4</v>
      </c>
      <c r="G22">
        <v>-3.3182566743209518E-2</v>
      </c>
    </row>
    <row r="23" spans="1:7" x14ac:dyDescent="0.35">
      <c r="A23">
        <v>44381</v>
      </c>
      <c r="B23">
        <v>1.018</v>
      </c>
      <c r="C23">
        <v>0.97430000000000005</v>
      </c>
      <c r="D23">
        <v>1</v>
      </c>
      <c r="E23">
        <v>0.99970000000000003</v>
      </c>
      <c r="F23">
        <v>2.9999999999996696E-4</v>
      </c>
      <c r="G23">
        <v>-4.314424518898341E-2</v>
      </c>
    </row>
    <row r="24" spans="1:7" x14ac:dyDescent="0.35">
      <c r="A24">
        <v>44382</v>
      </c>
      <c r="B24">
        <v>1.046</v>
      </c>
      <c r="C24">
        <v>0.98280000000000001</v>
      </c>
      <c r="D24">
        <v>0.99970000000000003</v>
      </c>
      <c r="E24">
        <v>0.99909999999999999</v>
      </c>
      <c r="F24">
        <v>6.0018005401629715E-4</v>
      </c>
      <c r="G24">
        <v>5.447494264549535E-2</v>
      </c>
    </row>
    <row r="25" spans="1:7" x14ac:dyDescent="0.35">
      <c r="A25">
        <v>44383</v>
      </c>
      <c r="B25">
        <v>1.0249999999999999</v>
      </c>
      <c r="C25">
        <v>0.97989999999999999</v>
      </c>
      <c r="D25">
        <v>0.99909999999999999</v>
      </c>
      <c r="E25">
        <v>0.99970000000000003</v>
      </c>
      <c r="F25">
        <v>-6.005404864377617E-4</v>
      </c>
      <c r="G25">
        <v>-5.7322086210742418E-2</v>
      </c>
    </row>
    <row r="26" spans="1:7" x14ac:dyDescent="0.35">
      <c r="A26">
        <v>44384</v>
      </c>
      <c r="B26">
        <v>1.0349999999999999</v>
      </c>
      <c r="C26">
        <v>0.998</v>
      </c>
      <c r="D26">
        <v>0.99970000000000003</v>
      </c>
      <c r="E26">
        <v>1</v>
      </c>
      <c r="F26">
        <v>-3.0009002700803755E-4</v>
      </c>
      <c r="G26">
        <v>2.3723106995088283E-3</v>
      </c>
    </row>
    <row r="27" spans="1:7" x14ac:dyDescent="0.35">
      <c r="A27">
        <v>44385</v>
      </c>
      <c r="B27">
        <v>1.032</v>
      </c>
      <c r="C27">
        <v>0.97670000000000001</v>
      </c>
      <c r="D27">
        <v>1</v>
      </c>
      <c r="E27">
        <v>1</v>
      </c>
      <c r="F27">
        <v>0</v>
      </c>
      <c r="G27">
        <v>8.7440443308935079E-2</v>
      </c>
    </row>
    <row r="28" spans="1:7" x14ac:dyDescent="0.35">
      <c r="A28">
        <v>44386</v>
      </c>
      <c r="B28">
        <v>1.008</v>
      </c>
      <c r="C28">
        <v>0.9546</v>
      </c>
      <c r="D28">
        <v>1</v>
      </c>
      <c r="E28">
        <v>0.99980000000000002</v>
      </c>
      <c r="F28">
        <v>1.9999999999997797E-4</v>
      </c>
      <c r="G28">
        <v>-1.4736274597897392E-2</v>
      </c>
    </row>
    <row r="29" spans="1:7" x14ac:dyDescent="0.35">
      <c r="A29">
        <v>44387</v>
      </c>
      <c r="B29">
        <v>1.022</v>
      </c>
      <c r="C29">
        <v>0.98540000000000005</v>
      </c>
      <c r="D29">
        <v>0.99980000000000002</v>
      </c>
      <c r="E29">
        <v>0.99990000000000001</v>
      </c>
      <c r="F29">
        <v>-1.0002000400088917E-4</v>
      </c>
      <c r="G29">
        <v>1.6405132196470218E-2</v>
      </c>
    </row>
    <row r="30" spans="1:7" x14ac:dyDescent="0.35">
      <c r="A30">
        <v>44388</v>
      </c>
      <c r="B30">
        <v>1.01</v>
      </c>
      <c r="C30">
        <v>0.97340000000000004</v>
      </c>
      <c r="D30">
        <v>0.99990000000000001</v>
      </c>
      <c r="E30">
        <v>1</v>
      </c>
      <c r="F30">
        <v>-1.0001000100001711E-4</v>
      </c>
      <c r="G30">
        <v>-1.4205366577113132E-2</v>
      </c>
    </row>
    <row r="31" spans="1:7" x14ac:dyDescent="0.35">
      <c r="A31">
        <v>44389</v>
      </c>
      <c r="B31">
        <v>1.046</v>
      </c>
      <c r="C31">
        <v>0.98570000000000002</v>
      </c>
      <c r="D31">
        <v>1</v>
      </c>
      <c r="E31">
        <v>0.99860000000000004</v>
      </c>
      <c r="F31">
        <v>1.3999999999999568E-3</v>
      </c>
      <c r="G31">
        <v>5.0255787334438917E-2</v>
      </c>
    </row>
    <row r="32" spans="1:7" x14ac:dyDescent="0.35">
      <c r="A32">
        <v>44390</v>
      </c>
      <c r="B32">
        <v>1.0189999999999999</v>
      </c>
      <c r="C32">
        <v>0.98429999999999995</v>
      </c>
      <c r="D32">
        <v>0.99860000000000004</v>
      </c>
      <c r="E32">
        <v>1.0009999999999999</v>
      </c>
      <c r="F32">
        <v>-2.4033647105947686E-3</v>
      </c>
      <c r="G32">
        <v>4.5388807996536995E-2</v>
      </c>
    </row>
    <row r="33" spans="1:7" x14ac:dyDescent="0.35">
      <c r="A33">
        <v>44391</v>
      </c>
      <c r="B33">
        <v>1.0089999999999999</v>
      </c>
      <c r="C33">
        <v>0.96330000000000005</v>
      </c>
      <c r="D33">
        <v>1.0009999999999999</v>
      </c>
      <c r="E33">
        <v>1</v>
      </c>
      <c r="F33">
        <v>9.9900099900085415E-4</v>
      </c>
      <c r="G33">
        <v>-2.7625334302100901E-2</v>
      </c>
    </row>
    <row r="34" spans="1:7" x14ac:dyDescent="0.35">
      <c r="A34">
        <v>44392</v>
      </c>
      <c r="B34">
        <v>1.044</v>
      </c>
      <c r="C34">
        <v>0.97909999999999997</v>
      </c>
      <c r="D34">
        <v>1</v>
      </c>
      <c r="E34">
        <v>1.002</v>
      </c>
      <c r="F34">
        <v>-2.0000000000000018E-3</v>
      </c>
      <c r="G34">
        <v>3.8135210759093763E-2</v>
      </c>
    </row>
    <row r="35" spans="1:7" x14ac:dyDescent="0.35">
      <c r="A35">
        <v>44393</v>
      </c>
      <c r="B35">
        <v>1.028</v>
      </c>
      <c r="C35">
        <v>0.98919999999999997</v>
      </c>
      <c r="D35">
        <v>1.002</v>
      </c>
      <c r="E35">
        <v>1</v>
      </c>
      <c r="F35">
        <v>1.9960079840319889E-3</v>
      </c>
      <c r="G35">
        <v>2.1437098901557317E-2</v>
      </c>
    </row>
    <row r="36" spans="1:7" x14ac:dyDescent="0.35">
      <c r="A36">
        <v>44394</v>
      </c>
      <c r="B36">
        <v>1.014</v>
      </c>
      <c r="C36">
        <v>0.98980000000000001</v>
      </c>
      <c r="D36">
        <v>1</v>
      </c>
      <c r="E36">
        <v>1.0009999999999999</v>
      </c>
      <c r="F36">
        <v>-9.9999999999988987E-4</v>
      </c>
      <c r="G36">
        <v>-1.2205322181082057E-2</v>
      </c>
    </row>
    <row r="37" spans="1:7" x14ac:dyDescent="0.35">
      <c r="A37">
        <v>44395</v>
      </c>
      <c r="B37">
        <v>1.0209999999999999</v>
      </c>
      <c r="C37">
        <v>0.97950000000000004</v>
      </c>
      <c r="D37">
        <v>1.0009999999999999</v>
      </c>
      <c r="E37">
        <v>1.0009999999999999</v>
      </c>
      <c r="F37">
        <v>0</v>
      </c>
      <c r="G37">
        <v>4.2106149603149401E-3</v>
      </c>
    </row>
    <row r="38" spans="1:7" x14ac:dyDescent="0.35">
      <c r="A38">
        <v>44396</v>
      </c>
      <c r="B38">
        <v>1.0349999999999999</v>
      </c>
      <c r="C38">
        <v>0.98909999999999998</v>
      </c>
      <c r="D38">
        <v>1.0009999999999999</v>
      </c>
      <c r="E38">
        <v>1.0009999999999999</v>
      </c>
      <c r="F38">
        <v>0</v>
      </c>
      <c r="G38">
        <v>3.8774604114251932E-2</v>
      </c>
    </row>
    <row r="39" spans="1:7" x14ac:dyDescent="0.35">
      <c r="A39">
        <v>44397</v>
      </c>
      <c r="B39">
        <v>1.0429999999999999</v>
      </c>
      <c r="C39">
        <v>0.98419999999999996</v>
      </c>
      <c r="D39">
        <v>1.0009999999999999</v>
      </c>
      <c r="E39">
        <v>1</v>
      </c>
      <c r="F39">
        <v>9.9900099900085415E-4</v>
      </c>
      <c r="G39">
        <v>1.7639942813152953E-2</v>
      </c>
    </row>
    <row r="40" spans="1:7" x14ac:dyDescent="0.35">
      <c r="A40">
        <v>44398</v>
      </c>
      <c r="B40">
        <v>1.0209999999999999</v>
      </c>
      <c r="C40">
        <v>0.91839999999999999</v>
      </c>
      <c r="D40">
        <v>1</v>
      </c>
      <c r="E40">
        <v>1</v>
      </c>
      <c r="F40">
        <v>0</v>
      </c>
      <c r="G40">
        <v>-0.11668495174977056</v>
      </c>
    </row>
    <row r="41" spans="1:7" x14ac:dyDescent="0.35">
      <c r="A41">
        <v>44399</v>
      </c>
      <c r="B41">
        <v>1.01</v>
      </c>
      <c r="C41">
        <v>0.98280000000000001</v>
      </c>
      <c r="D41">
        <v>1</v>
      </c>
      <c r="E41">
        <v>1</v>
      </c>
      <c r="F41">
        <v>0</v>
      </c>
      <c r="G41">
        <v>-1.4917442781381185E-2</v>
      </c>
    </row>
    <row r="42" spans="1:7" x14ac:dyDescent="0.35">
      <c r="A42">
        <v>44400</v>
      </c>
      <c r="B42">
        <v>1.0009999999999999</v>
      </c>
      <c r="C42">
        <v>0.95220000000000005</v>
      </c>
      <c r="D42">
        <v>1</v>
      </c>
      <c r="E42">
        <v>1.0009999999999999</v>
      </c>
      <c r="F42">
        <v>-9.9999999999988987E-4</v>
      </c>
      <c r="G42">
        <v>-4.9798986536543133E-2</v>
      </c>
    </row>
    <row r="43" spans="1:7" x14ac:dyDescent="0.35">
      <c r="A43">
        <v>44401</v>
      </c>
      <c r="B43">
        <v>1.0069999999999999</v>
      </c>
      <c r="C43">
        <v>0.97560000000000002</v>
      </c>
      <c r="D43">
        <v>1.0009999999999999</v>
      </c>
      <c r="E43">
        <v>1.0009999999999999</v>
      </c>
      <c r="F43">
        <v>0</v>
      </c>
      <c r="G43">
        <v>-2.8420611882930213E-2</v>
      </c>
    </row>
    <row r="44" spans="1:7" x14ac:dyDescent="0.35">
      <c r="A44">
        <v>44402</v>
      </c>
      <c r="B44">
        <v>0.99960000000000004</v>
      </c>
      <c r="C44">
        <v>0.95750000000000002</v>
      </c>
      <c r="D44">
        <v>1.0009999999999999</v>
      </c>
      <c r="E44">
        <v>0.99929999999999997</v>
      </c>
      <c r="F44">
        <v>1.6983016983016519E-3</v>
      </c>
      <c r="G44">
        <v>-3.8243716776915626E-3</v>
      </c>
    </row>
    <row r="45" spans="1:7" x14ac:dyDescent="0.35">
      <c r="A45">
        <v>44403</v>
      </c>
      <c r="B45">
        <v>1.0880000000000001</v>
      </c>
      <c r="C45">
        <v>0.94640000000000002</v>
      </c>
      <c r="D45">
        <v>0.99929999999999997</v>
      </c>
      <c r="E45">
        <v>1</v>
      </c>
      <c r="F45">
        <v>-7.0049034324037862E-4</v>
      </c>
      <c r="G45">
        <v>-1.564479524595086E-2</v>
      </c>
    </row>
    <row r="46" spans="1:7" x14ac:dyDescent="0.35">
      <c r="A46">
        <v>44404</v>
      </c>
      <c r="B46">
        <v>1.002</v>
      </c>
      <c r="C46">
        <v>0.92300000000000004</v>
      </c>
      <c r="D46">
        <v>1</v>
      </c>
      <c r="E46">
        <v>1.0009999999999999</v>
      </c>
      <c r="F46">
        <v>-9.9999999999988987E-4</v>
      </c>
      <c r="G46">
        <v>-3.289405789102906E-2</v>
      </c>
    </row>
    <row r="47" spans="1:7" x14ac:dyDescent="0.35">
      <c r="A47">
        <v>44405</v>
      </c>
      <c r="B47">
        <v>1.0229999999999999</v>
      </c>
      <c r="C47">
        <v>0.97050000000000003</v>
      </c>
      <c r="D47">
        <v>1.0009999999999999</v>
      </c>
      <c r="E47">
        <v>1.0009999999999999</v>
      </c>
      <c r="F47">
        <v>0</v>
      </c>
      <c r="G47">
        <v>3.7359142998638628E-4</v>
      </c>
    </row>
    <row r="48" spans="1:7" x14ac:dyDescent="0.35">
      <c r="A48">
        <v>44406</v>
      </c>
      <c r="B48">
        <v>1.0149999999999999</v>
      </c>
      <c r="C48">
        <v>0.98160000000000003</v>
      </c>
      <c r="D48">
        <v>1.0009999999999999</v>
      </c>
      <c r="E48">
        <v>1</v>
      </c>
      <c r="F48">
        <v>9.9900099900085415E-4</v>
      </c>
      <c r="G48">
        <v>-3.5686969823390369E-2</v>
      </c>
    </row>
    <row r="49" spans="1:7" x14ac:dyDescent="0.35">
      <c r="A49">
        <v>44407</v>
      </c>
      <c r="B49">
        <v>1.002</v>
      </c>
      <c r="C49">
        <v>0.90869999999999995</v>
      </c>
      <c r="D49">
        <v>1</v>
      </c>
      <c r="E49">
        <v>1.0009999999999999</v>
      </c>
      <c r="F49">
        <v>-9.9999999999988987E-4</v>
      </c>
      <c r="G49">
        <v>-3.3722998942615989E-2</v>
      </c>
    </row>
    <row r="50" spans="1:7" x14ac:dyDescent="0.35">
      <c r="A50">
        <v>44408</v>
      </c>
      <c r="B50">
        <v>1.02</v>
      </c>
      <c r="C50">
        <v>0.98899999999999999</v>
      </c>
      <c r="D50">
        <v>1.0009999999999999</v>
      </c>
      <c r="E50">
        <v>0.99880000000000002</v>
      </c>
      <c r="F50">
        <v>2.197802197802079E-3</v>
      </c>
      <c r="G50">
        <v>-2.7658598560648784E-2</v>
      </c>
    </row>
    <row r="51" spans="1:7" x14ac:dyDescent="0.35">
      <c r="A51">
        <v>44409</v>
      </c>
      <c r="B51">
        <v>1.0680000000000001</v>
      </c>
      <c r="C51">
        <v>0.98980000000000001</v>
      </c>
      <c r="D51">
        <v>0.99880000000000002</v>
      </c>
      <c r="E51">
        <v>0.99980000000000002</v>
      </c>
      <c r="F51">
        <v>-1.001201441729993E-3</v>
      </c>
      <c r="G51">
        <v>-9.7402982126986171E-3</v>
      </c>
    </row>
    <row r="52" spans="1:7" x14ac:dyDescent="0.35">
      <c r="A52">
        <v>44410</v>
      </c>
      <c r="B52">
        <v>1.0329999999999999</v>
      </c>
      <c r="C52">
        <v>0.98819999999999997</v>
      </c>
      <c r="D52">
        <v>0.99980000000000002</v>
      </c>
      <c r="E52">
        <v>1</v>
      </c>
      <c r="F52">
        <v>-2.000400080015563E-4</v>
      </c>
      <c r="G52">
        <v>-2.0352760316224794E-2</v>
      </c>
    </row>
    <row r="53" spans="1:7" x14ac:dyDescent="0.35">
      <c r="A53">
        <v>44411</v>
      </c>
      <c r="B53">
        <v>1.042</v>
      </c>
      <c r="C53">
        <v>0.98699999999999999</v>
      </c>
      <c r="D53">
        <v>1</v>
      </c>
      <c r="E53">
        <v>1</v>
      </c>
      <c r="F53">
        <v>0</v>
      </c>
      <c r="G53">
        <v>3.8425265676036213E-2</v>
      </c>
    </row>
    <row r="54" spans="1:7" x14ac:dyDescent="0.35">
      <c r="A54">
        <v>44412</v>
      </c>
      <c r="B54">
        <v>1.0049999999999999</v>
      </c>
      <c r="C54">
        <v>0.94420000000000004</v>
      </c>
      <c r="D54">
        <v>1</v>
      </c>
      <c r="E54">
        <v>0.99990000000000001</v>
      </c>
      <c r="F54">
        <v>9.9999999999988987E-5</v>
      </c>
      <c r="G54">
        <v>-8.6719214100892561E-2</v>
      </c>
    </row>
    <row r="55" spans="1:7" x14ac:dyDescent="0.35">
      <c r="A55">
        <v>44413</v>
      </c>
      <c r="B55">
        <v>1.0129999999999999</v>
      </c>
      <c r="C55">
        <v>0.91279999999999994</v>
      </c>
      <c r="D55">
        <v>0.99990000000000001</v>
      </c>
      <c r="E55">
        <v>0.99980000000000002</v>
      </c>
      <c r="F55">
        <v>1.0001000100012813E-4</v>
      </c>
      <c r="G55">
        <v>-3.7975287263548818E-2</v>
      </c>
    </row>
    <row r="56" spans="1:7" x14ac:dyDescent="0.35">
      <c r="A56">
        <v>44414</v>
      </c>
      <c r="B56">
        <v>1.012</v>
      </c>
      <c r="C56">
        <v>0.93100000000000005</v>
      </c>
      <c r="D56">
        <v>0.99980000000000002</v>
      </c>
      <c r="E56">
        <v>1</v>
      </c>
      <c r="F56">
        <v>-2.000400080015563E-4</v>
      </c>
      <c r="G56">
        <v>-2.2313491656740458E-2</v>
      </c>
    </row>
    <row r="57" spans="1:7" x14ac:dyDescent="0.35">
      <c r="A57">
        <v>44415</v>
      </c>
      <c r="B57">
        <v>1.0029999999999999</v>
      </c>
      <c r="C57">
        <v>0.95220000000000005</v>
      </c>
      <c r="D57">
        <v>1</v>
      </c>
      <c r="E57">
        <v>1</v>
      </c>
      <c r="F57">
        <v>0</v>
      </c>
      <c r="G57">
        <v>-9.3373577286368192E-2</v>
      </c>
    </row>
    <row r="58" spans="1:7" x14ac:dyDescent="0.35">
      <c r="A58">
        <v>44416</v>
      </c>
      <c r="B58">
        <v>1.034</v>
      </c>
      <c r="C58">
        <v>0.98770000000000002</v>
      </c>
      <c r="D58">
        <v>1</v>
      </c>
      <c r="E58">
        <v>0.99970000000000003</v>
      </c>
      <c r="F58">
        <v>2.9999999999996696E-4</v>
      </c>
      <c r="G58">
        <v>4.7014479371875417E-2</v>
      </c>
    </row>
    <row r="59" spans="1:7" x14ac:dyDescent="0.35">
      <c r="A59">
        <v>44417</v>
      </c>
      <c r="B59">
        <v>1.004</v>
      </c>
      <c r="C59">
        <v>0.92459999999999998</v>
      </c>
      <c r="D59">
        <v>0.99970000000000003</v>
      </c>
      <c r="E59">
        <v>0.99960000000000004</v>
      </c>
      <c r="F59">
        <v>1.0003000900271619E-4</v>
      </c>
      <c r="G59">
        <v>-5.0166735794276329E-2</v>
      </c>
    </row>
    <row r="60" spans="1:7" x14ac:dyDescent="0.35">
      <c r="A60">
        <v>44418</v>
      </c>
      <c r="B60">
        <v>1.024</v>
      </c>
      <c r="C60">
        <v>0.97950000000000004</v>
      </c>
      <c r="D60">
        <v>0.99960000000000004</v>
      </c>
      <c r="E60">
        <v>1</v>
      </c>
      <c r="F60">
        <v>-4.0016006402554538E-4</v>
      </c>
      <c r="G60">
        <v>7.3524300618652561E-3</v>
      </c>
    </row>
    <row r="61" spans="1:7" x14ac:dyDescent="0.35">
      <c r="A61">
        <v>44419</v>
      </c>
      <c r="B61">
        <v>1.026</v>
      </c>
      <c r="C61">
        <v>0.995</v>
      </c>
      <c r="D61">
        <v>1</v>
      </c>
      <c r="E61">
        <v>0.99929999999999997</v>
      </c>
      <c r="F61">
        <v>7.0000000000003393E-4</v>
      </c>
      <c r="G61">
        <v>-6.9230695776449913E-3</v>
      </c>
    </row>
    <row r="62" spans="1:7" x14ac:dyDescent="0.35">
      <c r="A62">
        <v>44420</v>
      </c>
      <c r="B62">
        <v>1</v>
      </c>
      <c r="C62">
        <v>0.99990000000000001</v>
      </c>
      <c r="D62">
        <v>1</v>
      </c>
      <c r="E62">
        <v>1</v>
      </c>
      <c r="F62">
        <v>-7.0049034324037862E-4</v>
      </c>
      <c r="G62">
        <v>3.0681983423004211E-2</v>
      </c>
    </row>
    <row r="63" spans="1:7" x14ac:dyDescent="0.35">
      <c r="A63"/>
      <c r="B63"/>
      <c r="C63"/>
      <c r="D63"/>
      <c r="E63"/>
      <c r="F63"/>
      <c r="G63"/>
    </row>
    <row r="64" spans="1:7" x14ac:dyDescent="0.35">
      <c r="A64"/>
      <c r="B64"/>
      <c r="C64"/>
      <c r="D64"/>
      <c r="E64"/>
      <c r="F64"/>
      <c r="G64"/>
    </row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4C7F6-7CA2-4CEA-95F7-919D5718D415}">
  <sheetPr>
    <tabColor rgb="FFC6E0B4"/>
  </sheetPr>
  <dimension ref="A1:G99"/>
  <sheetViews>
    <sheetView workbookViewId="0"/>
  </sheetViews>
  <sheetFormatPr defaultRowHeight="14.5" x14ac:dyDescent="0.35"/>
  <cols>
    <col min="1" max="1" width="8.7265625" style="2"/>
    <col min="2" max="5" width="8.7265625" style="3"/>
    <col min="6" max="6" width="8.7265625" style="4"/>
    <col min="7" max="7" width="8.7265625" style="3"/>
  </cols>
  <sheetData>
    <row r="1" spans="1:7" x14ac:dyDescent="0.35">
      <c r="A1" s="2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4" t="s">
        <v>10</v>
      </c>
      <c r="G1" s="3" t="s">
        <v>29</v>
      </c>
    </row>
    <row r="2" spans="1:7" x14ac:dyDescent="0.35">
      <c r="A2">
        <v>44360</v>
      </c>
      <c r="B2">
        <v>342.57</v>
      </c>
      <c r="C2">
        <v>292.63</v>
      </c>
      <c r="D2">
        <v>284.12</v>
      </c>
      <c r="E2">
        <v>342.32</v>
      </c>
      <c r="F2"/>
      <c r="G2"/>
    </row>
    <row r="3" spans="1:7" x14ac:dyDescent="0.35">
      <c r="A3">
        <v>44361</v>
      </c>
      <c r="B3">
        <v>354.27</v>
      </c>
      <c r="C3">
        <v>301.08</v>
      </c>
      <c r="D3">
        <v>342.32</v>
      </c>
      <c r="E3">
        <v>318.63</v>
      </c>
      <c r="F3">
        <v>6.9204253330217291E-2</v>
      </c>
      <c r="G3">
        <v>-2.8856038570347131E-2</v>
      </c>
    </row>
    <row r="4" spans="1:7" x14ac:dyDescent="0.35">
      <c r="A4">
        <v>44362</v>
      </c>
      <c r="B4">
        <v>350.25</v>
      </c>
      <c r="C4">
        <v>310.06</v>
      </c>
      <c r="D4">
        <v>318.63</v>
      </c>
      <c r="E4">
        <v>321.77</v>
      </c>
      <c r="F4">
        <v>-9.8546903932459351E-3</v>
      </c>
      <c r="G4">
        <v>1.4917974377643195E-2</v>
      </c>
    </row>
    <row r="5" spans="1:7" x14ac:dyDescent="0.35">
      <c r="A5">
        <v>44363</v>
      </c>
      <c r="B5">
        <v>319.39999999999998</v>
      </c>
      <c r="C5">
        <v>286.97000000000003</v>
      </c>
      <c r="D5">
        <v>321.77</v>
      </c>
      <c r="E5">
        <v>288.14999999999998</v>
      </c>
      <c r="F5">
        <v>0.10448456972371567</v>
      </c>
      <c r="G5">
        <v>6.9153955024374936E-2</v>
      </c>
    </row>
    <row r="6" spans="1:7" x14ac:dyDescent="0.35">
      <c r="A6">
        <v>44364</v>
      </c>
      <c r="B6">
        <v>320.02</v>
      </c>
      <c r="C6">
        <v>287.52</v>
      </c>
      <c r="D6">
        <v>288.14999999999998</v>
      </c>
      <c r="E6">
        <v>310.77</v>
      </c>
      <c r="F6">
        <v>-7.8500780843310691E-2</v>
      </c>
      <c r="G6">
        <v>-1.9470372091059396E-3</v>
      </c>
    </row>
    <row r="7" spans="1:7" x14ac:dyDescent="0.35">
      <c r="A7">
        <v>44365</v>
      </c>
      <c r="B7">
        <v>297.06</v>
      </c>
      <c r="C7">
        <v>270.49</v>
      </c>
      <c r="D7">
        <v>310.77</v>
      </c>
      <c r="E7">
        <v>293.94</v>
      </c>
      <c r="F7">
        <v>5.4155806545033269E-2</v>
      </c>
      <c r="G7">
        <v>5.8483081890646549E-2</v>
      </c>
    </row>
    <row r="8" spans="1:7" x14ac:dyDescent="0.35">
      <c r="A8">
        <v>44366</v>
      </c>
      <c r="B8">
        <v>292.06</v>
      </c>
      <c r="C8">
        <v>261.51</v>
      </c>
      <c r="D8">
        <v>293.94</v>
      </c>
      <c r="E8">
        <v>268.01</v>
      </c>
      <c r="F8">
        <v>8.8215282030346343E-2</v>
      </c>
      <c r="G8">
        <v>2.9978912682387393E-2</v>
      </c>
    </row>
    <row r="9" spans="1:7" x14ac:dyDescent="0.35">
      <c r="A9">
        <v>44367</v>
      </c>
      <c r="B9">
        <v>300.42</v>
      </c>
      <c r="C9">
        <v>266.76</v>
      </c>
      <c r="D9">
        <v>268.01</v>
      </c>
      <c r="E9">
        <v>284.70999999999998</v>
      </c>
      <c r="F9">
        <v>-6.2311107794485343E-2</v>
      </c>
      <c r="G9">
        <v>-3.5534775524898254E-2</v>
      </c>
    </row>
    <row r="10" spans="1:7" x14ac:dyDescent="0.35">
      <c r="A10">
        <v>44368</v>
      </c>
      <c r="B10">
        <v>252.79</v>
      </c>
      <c r="C10">
        <v>212.77</v>
      </c>
      <c r="D10">
        <v>284.70999999999998</v>
      </c>
      <c r="E10">
        <v>214.28</v>
      </c>
      <c r="F10">
        <v>0.24737452144287164</v>
      </c>
      <c r="G10">
        <v>0.15854430379746831</v>
      </c>
    </row>
    <row r="11" spans="1:7" x14ac:dyDescent="0.35">
      <c r="A11">
        <v>44369</v>
      </c>
      <c r="B11">
        <v>238.87</v>
      </c>
      <c r="C11">
        <v>208.02</v>
      </c>
      <c r="D11">
        <v>214.28</v>
      </c>
      <c r="E11">
        <v>226.26</v>
      </c>
      <c r="F11">
        <v>-5.5908157550867976E-2</v>
      </c>
      <c r="G11">
        <v>3.7396246603351724E-3</v>
      </c>
    </row>
    <row r="12" spans="1:7" x14ac:dyDescent="0.35">
      <c r="A12">
        <v>44370</v>
      </c>
      <c r="B12">
        <v>244.89</v>
      </c>
      <c r="C12">
        <v>225.79</v>
      </c>
      <c r="D12">
        <v>226.26</v>
      </c>
      <c r="E12">
        <v>235.05</v>
      </c>
      <c r="F12">
        <v>-3.8849111641474421E-2</v>
      </c>
      <c r="G12">
        <v>-4.6644300654498316E-2</v>
      </c>
    </row>
    <row r="13" spans="1:7" x14ac:dyDescent="0.35">
      <c r="A13">
        <v>44371</v>
      </c>
      <c r="B13">
        <v>243.85</v>
      </c>
      <c r="C13">
        <v>222.37</v>
      </c>
      <c r="D13">
        <v>235.05</v>
      </c>
      <c r="E13">
        <v>237.89</v>
      </c>
      <c r="F13">
        <v>-1.2082535630716817E-2</v>
      </c>
      <c r="G13">
        <v>-1.0388304141098148E-2</v>
      </c>
    </row>
    <row r="14" spans="1:7" x14ac:dyDescent="0.35">
      <c r="A14">
        <v>44372</v>
      </c>
      <c r="B14">
        <v>218.5</v>
      </c>
      <c r="C14">
        <v>202.39</v>
      </c>
      <c r="D14">
        <v>237.89</v>
      </c>
      <c r="E14">
        <v>215.78</v>
      </c>
      <c r="F14">
        <v>9.2942116104081651E-2</v>
      </c>
      <c r="G14">
        <v>8.9863801589735615E-2</v>
      </c>
    </row>
    <row r="15" spans="1:7" x14ac:dyDescent="0.35">
      <c r="A15">
        <v>44373</v>
      </c>
      <c r="B15">
        <v>234.36</v>
      </c>
      <c r="C15">
        <v>205.07</v>
      </c>
      <c r="D15">
        <v>215.78</v>
      </c>
      <c r="E15">
        <v>224.84</v>
      </c>
      <c r="F15">
        <v>-4.1987209194550124E-2</v>
      </c>
      <c r="G15">
        <v>-1.1418186237412087E-2</v>
      </c>
    </row>
    <row r="16" spans="1:7" x14ac:dyDescent="0.35">
      <c r="A16">
        <v>44374</v>
      </c>
      <c r="B16">
        <v>253.07</v>
      </c>
      <c r="C16">
        <v>220.55</v>
      </c>
      <c r="D16">
        <v>224.84</v>
      </c>
      <c r="E16">
        <v>235.62</v>
      </c>
      <c r="F16">
        <v>-4.7945205479452024E-2</v>
      </c>
      <c r="G16">
        <v>-8.3230471779522919E-2</v>
      </c>
    </row>
    <row r="17" spans="1:7" x14ac:dyDescent="0.35">
      <c r="A17">
        <v>44375</v>
      </c>
      <c r="B17">
        <v>266.93</v>
      </c>
      <c r="C17">
        <v>231.72</v>
      </c>
      <c r="D17">
        <v>235.62</v>
      </c>
      <c r="E17">
        <v>266.93</v>
      </c>
      <c r="F17">
        <v>-0.13288345641286825</v>
      </c>
      <c r="G17">
        <v>-5.0657227995341225E-2</v>
      </c>
    </row>
    <row r="18" spans="1:7" x14ac:dyDescent="0.35">
      <c r="A18">
        <v>44376</v>
      </c>
      <c r="B18">
        <v>278.70999999999998</v>
      </c>
      <c r="C18">
        <v>246.88</v>
      </c>
      <c r="D18">
        <v>266.93</v>
      </c>
      <c r="E18">
        <v>251.86</v>
      </c>
      <c r="F18">
        <v>5.6456748960401537E-2</v>
      </c>
      <c r="G18">
        <v>-3.9260005758710026E-2</v>
      </c>
    </row>
    <row r="19" spans="1:7" x14ac:dyDescent="0.35">
      <c r="A19">
        <v>44377</v>
      </c>
      <c r="B19">
        <v>289.75</v>
      </c>
      <c r="C19">
        <v>252.88</v>
      </c>
      <c r="D19">
        <v>251.86</v>
      </c>
      <c r="E19">
        <v>274.05</v>
      </c>
      <c r="F19">
        <v>-8.810450250138957E-2</v>
      </c>
      <c r="G19">
        <v>-5.103873735344755E-2</v>
      </c>
    </row>
    <row r="20" spans="1:7" x14ac:dyDescent="0.35">
      <c r="A20">
        <v>44378</v>
      </c>
      <c r="B20">
        <v>268.51</v>
      </c>
      <c r="C20">
        <v>234.34</v>
      </c>
      <c r="D20">
        <v>274.05</v>
      </c>
      <c r="E20">
        <v>249.11</v>
      </c>
      <c r="F20">
        <v>9.1005291005290978E-2</v>
      </c>
      <c r="G20">
        <v>7.3303926823481858E-2</v>
      </c>
    </row>
    <row r="21" spans="1:7" x14ac:dyDescent="0.35">
      <c r="A21">
        <v>44379</v>
      </c>
      <c r="B21">
        <v>282.61</v>
      </c>
      <c r="C21">
        <v>247.25</v>
      </c>
      <c r="D21">
        <v>249.11</v>
      </c>
      <c r="E21">
        <v>251.56</v>
      </c>
      <c r="F21">
        <v>-9.8350126450161834E-3</v>
      </c>
      <c r="G21">
        <v>-2.1978959744748394E-2</v>
      </c>
    </row>
    <row r="22" spans="1:7" x14ac:dyDescent="0.35">
      <c r="A22">
        <v>44380</v>
      </c>
      <c r="B22">
        <v>296.44</v>
      </c>
      <c r="C22">
        <v>255.46</v>
      </c>
      <c r="D22">
        <v>251.56</v>
      </c>
      <c r="E22">
        <v>274.39</v>
      </c>
      <c r="F22">
        <v>-9.0753696931149541E-2</v>
      </c>
      <c r="G22">
        <v>-3.3182566743209518E-2</v>
      </c>
    </row>
    <row r="23" spans="1:7" x14ac:dyDescent="0.35">
      <c r="A23">
        <v>44381</v>
      </c>
      <c r="B23">
        <v>309.23</v>
      </c>
      <c r="C23">
        <v>269.5</v>
      </c>
      <c r="D23">
        <v>274.39</v>
      </c>
      <c r="E23">
        <v>290.18</v>
      </c>
      <c r="F23">
        <v>-5.7545828929625786E-2</v>
      </c>
      <c r="G23">
        <v>-4.314424518898341E-2</v>
      </c>
    </row>
    <row r="24" spans="1:7" x14ac:dyDescent="0.35">
      <c r="A24">
        <v>44382</v>
      </c>
      <c r="B24">
        <v>312.58999999999997</v>
      </c>
      <c r="C24">
        <v>258.11</v>
      </c>
      <c r="D24">
        <v>290.18</v>
      </c>
      <c r="E24">
        <v>307.76</v>
      </c>
      <c r="F24">
        <v>-6.0583086360190164E-2</v>
      </c>
      <c r="G24">
        <v>5.447494264549535E-2</v>
      </c>
    </row>
    <row r="25" spans="1:7" x14ac:dyDescent="0.35">
      <c r="A25">
        <v>44383</v>
      </c>
      <c r="B25">
        <v>330.97</v>
      </c>
      <c r="C25">
        <v>284.29000000000002</v>
      </c>
      <c r="D25">
        <v>307.76</v>
      </c>
      <c r="E25">
        <v>317.74</v>
      </c>
      <c r="F25">
        <v>-3.2427865869508743E-2</v>
      </c>
      <c r="G25">
        <v>-5.7322086210742418E-2</v>
      </c>
    </row>
    <row r="26" spans="1:7" x14ac:dyDescent="0.35">
      <c r="A26">
        <v>44384</v>
      </c>
      <c r="B26">
        <v>330.19</v>
      </c>
      <c r="C26">
        <v>308.87</v>
      </c>
      <c r="D26">
        <v>317.74</v>
      </c>
      <c r="E26">
        <v>312.81</v>
      </c>
      <c r="F26">
        <v>1.5515830553282539E-2</v>
      </c>
      <c r="G26">
        <v>2.3723106995088283E-3</v>
      </c>
    </row>
    <row r="27" spans="1:7" x14ac:dyDescent="0.35">
      <c r="A27">
        <v>44385</v>
      </c>
      <c r="B27">
        <v>301.32</v>
      </c>
      <c r="C27">
        <v>277.20999999999998</v>
      </c>
      <c r="D27">
        <v>312.81</v>
      </c>
      <c r="E27">
        <v>291.17</v>
      </c>
      <c r="F27">
        <v>6.9179374060931553E-2</v>
      </c>
      <c r="G27">
        <v>8.7440443308935079E-2</v>
      </c>
    </row>
    <row r="28" spans="1:7" x14ac:dyDescent="0.35">
      <c r="A28">
        <v>44386</v>
      </c>
      <c r="B28">
        <v>305.76</v>
      </c>
      <c r="C28">
        <v>288.16000000000003</v>
      </c>
      <c r="D28">
        <v>291.17</v>
      </c>
      <c r="E28">
        <v>297.39</v>
      </c>
      <c r="F28">
        <v>-2.136209087474672E-2</v>
      </c>
      <c r="G28">
        <v>-1.4736274597897392E-2</v>
      </c>
    </row>
    <row r="29" spans="1:7" x14ac:dyDescent="0.35">
      <c r="A29">
        <v>44387</v>
      </c>
      <c r="B29">
        <v>300.74</v>
      </c>
      <c r="C29">
        <v>279.64</v>
      </c>
      <c r="D29">
        <v>297.39</v>
      </c>
      <c r="E29">
        <v>299.69</v>
      </c>
      <c r="F29">
        <v>-7.733952049497228E-3</v>
      </c>
      <c r="G29">
        <v>1.6405132196470218E-2</v>
      </c>
    </row>
    <row r="30" spans="1:7" x14ac:dyDescent="0.35">
      <c r="A30">
        <v>44388</v>
      </c>
      <c r="B30">
        <v>305.01</v>
      </c>
      <c r="C30">
        <v>289.17</v>
      </c>
      <c r="D30">
        <v>299.69</v>
      </c>
      <c r="E30">
        <v>302.45</v>
      </c>
      <c r="F30">
        <v>-9.2095165003835966E-3</v>
      </c>
      <c r="G30">
        <v>-1.4205366577113132E-2</v>
      </c>
    </row>
    <row r="31" spans="1:7" x14ac:dyDescent="0.35">
      <c r="A31">
        <v>44389</v>
      </c>
      <c r="B31">
        <v>289.69</v>
      </c>
      <c r="C31">
        <v>274.64</v>
      </c>
      <c r="D31">
        <v>302.45</v>
      </c>
      <c r="E31">
        <v>286.64</v>
      </c>
      <c r="F31">
        <v>5.2273102992230092E-2</v>
      </c>
      <c r="G31">
        <v>5.0255787334438917E-2</v>
      </c>
    </row>
    <row r="32" spans="1:7" x14ac:dyDescent="0.35">
      <c r="A32">
        <v>44390</v>
      </c>
      <c r="B32">
        <v>276.54000000000002</v>
      </c>
      <c r="C32">
        <v>267.61</v>
      </c>
      <c r="D32">
        <v>286.64</v>
      </c>
      <c r="E32">
        <v>270.52</v>
      </c>
      <c r="F32">
        <v>5.6237789561819684E-2</v>
      </c>
      <c r="G32">
        <v>4.5388807996536995E-2</v>
      </c>
    </row>
    <row r="33" spans="1:7" x14ac:dyDescent="0.35">
      <c r="A33">
        <v>44391</v>
      </c>
      <c r="B33">
        <v>284.18</v>
      </c>
      <c r="C33">
        <v>270.02</v>
      </c>
      <c r="D33">
        <v>270.52</v>
      </c>
      <c r="E33">
        <v>273.81</v>
      </c>
      <c r="F33">
        <v>-1.2161762531420983E-2</v>
      </c>
      <c r="G33">
        <v>-2.7625334302100901E-2</v>
      </c>
    </row>
    <row r="34" spans="1:7" x14ac:dyDescent="0.35">
      <c r="A34">
        <v>44392</v>
      </c>
      <c r="B34">
        <v>273.33999999999997</v>
      </c>
      <c r="C34">
        <v>255.88</v>
      </c>
      <c r="D34">
        <v>273.81</v>
      </c>
      <c r="E34">
        <v>263.94</v>
      </c>
      <c r="F34">
        <v>3.6046893831488958E-2</v>
      </c>
      <c r="G34">
        <v>3.8135210759093763E-2</v>
      </c>
    </row>
    <row r="35" spans="1:7" x14ac:dyDescent="0.35">
      <c r="A35">
        <v>44393</v>
      </c>
      <c r="B35">
        <v>267.48</v>
      </c>
      <c r="C35">
        <v>246.27</v>
      </c>
      <c r="D35">
        <v>263.94</v>
      </c>
      <c r="E35">
        <v>266.92</v>
      </c>
      <c r="F35">
        <v>-1.1290444798060184E-2</v>
      </c>
      <c r="G35">
        <v>2.1437098901557317E-2</v>
      </c>
    </row>
    <row r="36" spans="1:7" x14ac:dyDescent="0.35">
      <c r="A36">
        <v>44394</v>
      </c>
      <c r="B36">
        <v>270.74</v>
      </c>
      <c r="C36">
        <v>245.85</v>
      </c>
      <c r="D36">
        <v>266.92</v>
      </c>
      <c r="E36">
        <v>267.7</v>
      </c>
      <c r="F36">
        <v>-2.9222238873070072E-3</v>
      </c>
      <c r="G36">
        <v>-1.2205322181082057E-2</v>
      </c>
    </row>
    <row r="37" spans="1:7" x14ac:dyDescent="0.35">
      <c r="A37">
        <v>44395</v>
      </c>
      <c r="B37">
        <v>269.60000000000002</v>
      </c>
      <c r="C37">
        <v>243.68</v>
      </c>
      <c r="D37">
        <v>267.7</v>
      </c>
      <c r="E37">
        <v>248.23</v>
      </c>
      <c r="F37">
        <v>7.2730668658946618E-2</v>
      </c>
      <c r="G37">
        <v>4.2106149603149401E-3</v>
      </c>
    </row>
    <row r="38" spans="1:7" x14ac:dyDescent="0.35">
      <c r="A38">
        <v>44396</v>
      </c>
      <c r="B38">
        <v>259.14999999999998</v>
      </c>
      <c r="C38">
        <v>230.6</v>
      </c>
      <c r="D38">
        <v>248.23</v>
      </c>
      <c r="E38">
        <v>247.33</v>
      </c>
      <c r="F38">
        <v>3.6256697417716977E-3</v>
      </c>
      <c r="G38">
        <v>3.8774604114251932E-2</v>
      </c>
    </row>
    <row r="39" spans="1:7" x14ac:dyDescent="0.35">
      <c r="A39">
        <v>44397</v>
      </c>
      <c r="B39">
        <v>254.58</v>
      </c>
      <c r="C39">
        <v>220.1</v>
      </c>
      <c r="D39">
        <v>247.33</v>
      </c>
      <c r="E39">
        <v>234.75</v>
      </c>
      <c r="F39">
        <v>5.0863219180851571E-2</v>
      </c>
      <c r="G39">
        <v>1.7639942813152953E-2</v>
      </c>
    </row>
    <row r="40" spans="1:7" x14ac:dyDescent="0.35">
      <c r="A40">
        <v>44398</v>
      </c>
      <c r="B40">
        <v>284.27999999999997</v>
      </c>
      <c r="C40">
        <v>245.78</v>
      </c>
      <c r="D40">
        <v>234.75</v>
      </c>
      <c r="E40">
        <v>259.55</v>
      </c>
      <c r="F40">
        <v>-0.10564430244941425</v>
      </c>
      <c r="G40">
        <v>-0.11668495174977056</v>
      </c>
    </row>
    <row r="41" spans="1:7" x14ac:dyDescent="0.35">
      <c r="A41">
        <v>44399</v>
      </c>
      <c r="B41">
        <v>272.73</v>
      </c>
      <c r="C41">
        <v>253.7</v>
      </c>
      <c r="D41">
        <v>259.55</v>
      </c>
      <c r="E41">
        <v>266.05</v>
      </c>
      <c r="F41">
        <v>-2.5043344249662924E-2</v>
      </c>
      <c r="G41">
        <v>-1.4917442781381185E-2</v>
      </c>
    </row>
    <row r="42" spans="1:7" x14ac:dyDescent="0.35">
      <c r="A42">
        <v>44400</v>
      </c>
      <c r="B42">
        <v>286.95</v>
      </c>
      <c r="C42">
        <v>268.67</v>
      </c>
      <c r="D42">
        <v>266.05</v>
      </c>
      <c r="E42">
        <v>277.60000000000002</v>
      </c>
      <c r="F42">
        <v>-4.3412892313474893E-2</v>
      </c>
      <c r="G42">
        <v>-4.9798986536543133E-2</v>
      </c>
    </row>
    <row r="43" spans="1:7" x14ac:dyDescent="0.35">
      <c r="A43">
        <v>44401</v>
      </c>
      <c r="B43">
        <v>307.13</v>
      </c>
      <c r="C43">
        <v>283.74</v>
      </c>
      <c r="D43">
        <v>277.60000000000002</v>
      </c>
      <c r="E43">
        <v>295.33</v>
      </c>
      <c r="F43">
        <v>-6.3868876080691583E-2</v>
      </c>
      <c r="G43">
        <v>-2.8420611882930213E-2</v>
      </c>
    </row>
    <row r="44" spans="1:7" x14ac:dyDescent="0.35">
      <c r="A44">
        <v>44402</v>
      </c>
      <c r="B44">
        <v>303.7</v>
      </c>
      <c r="C44">
        <v>294.04000000000002</v>
      </c>
      <c r="D44">
        <v>295.33</v>
      </c>
      <c r="E44">
        <v>298.64999999999998</v>
      </c>
      <c r="F44">
        <v>-1.1241661869772823E-2</v>
      </c>
      <c r="G44">
        <v>-3.8243716776915626E-3</v>
      </c>
    </row>
    <row r="45" spans="1:7" x14ac:dyDescent="0.35">
      <c r="A45">
        <v>44403</v>
      </c>
      <c r="B45">
        <v>313.13</v>
      </c>
      <c r="C45">
        <v>273.89999999999998</v>
      </c>
      <c r="D45">
        <v>298.64999999999998</v>
      </c>
      <c r="E45">
        <v>275.24</v>
      </c>
      <c r="F45">
        <v>7.8386070651263906E-2</v>
      </c>
      <c r="G45">
        <v>-1.564479524595086E-2</v>
      </c>
    </row>
    <row r="46" spans="1:7" x14ac:dyDescent="0.35">
      <c r="A46">
        <v>44404</v>
      </c>
      <c r="B46">
        <v>323.43</v>
      </c>
      <c r="C46">
        <v>275.32</v>
      </c>
      <c r="D46">
        <v>275.24</v>
      </c>
      <c r="E46">
        <v>275.32</v>
      </c>
      <c r="F46">
        <v>-2.9065542799000532E-4</v>
      </c>
      <c r="G46">
        <v>-3.289405789102906E-2</v>
      </c>
    </row>
    <row r="47" spans="1:7" x14ac:dyDescent="0.35">
      <c r="A47">
        <v>44405</v>
      </c>
      <c r="B47">
        <v>318.24</v>
      </c>
      <c r="C47">
        <v>275.20999999999998</v>
      </c>
      <c r="D47">
        <v>275.32</v>
      </c>
      <c r="E47">
        <v>281.89</v>
      </c>
      <c r="F47">
        <v>-2.3863141072206773E-2</v>
      </c>
      <c r="G47">
        <v>3.7359142998638628E-4</v>
      </c>
    </row>
    <row r="48" spans="1:7" x14ac:dyDescent="0.35">
      <c r="A48">
        <v>44406</v>
      </c>
      <c r="B48">
        <v>325.07</v>
      </c>
      <c r="C48">
        <v>291.70999999999998</v>
      </c>
      <c r="D48">
        <v>281.89</v>
      </c>
      <c r="E48">
        <v>298.14</v>
      </c>
      <c r="F48">
        <v>-5.7646599737486204E-2</v>
      </c>
      <c r="G48">
        <v>-3.5686969823390369E-2</v>
      </c>
    </row>
    <row r="49" spans="1:7" x14ac:dyDescent="0.35">
      <c r="A49">
        <v>44407</v>
      </c>
      <c r="B49">
        <v>336.04</v>
      </c>
      <c r="C49">
        <v>301.55</v>
      </c>
      <c r="D49">
        <v>298.14</v>
      </c>
      <c r="E49">
        <v>320.27</v>
      </c>
      <c r="F49">
        <v>-7.4226873281008965E-2</v>
      </c>
      <c r="G49">
        <v>-3.3722998942615989E-2</v>
      </c>
    </row>
    <row r="50" spans="1:7" x14ac:dyDescent="0.35">
      <c r="A50">
        <v>44408</v>
      </c>
      <c r="B50">
        <v>345.33</v>
      </c>
      <c r="C50">
        <v>309.89</v>
      </c>
      <c r="D50">
        <v>320.27</v>
      </c>
      <c r="E50">
        <v>317.48</v>
      </c>
      <c r="F50">
        <v>8.7113997564554069E-3</v>
      </c>
      <c r="G50">
        <v>-2.7658598560648784E-2</v>
      </c>
    </row>
    <row r="51" spans="1:7" x14ac:dyDescent="0.35">
      <c r="A51">
        <v>44409</v>
      </c>
      <c r="B51">
        <v>350.48</v>
      </c>
      <c r="C51">
        <v>312.89999999999998</v>
      </c>
      <c r="D51">
        <v>317.48</v>
      </c>
      <c r="E51">
        <v>324.41000000000003</v>
      </c>
      <c r="F51">
        <v>-2.182814665490751E-2</v>
      </c>
      <c r="G51">
        <v>-9.7402982126986171E-3</v>
      </c>
    </row>
    <row r="52" spans="1:7" x14ac:dyDescent="0.35">
      <c r="A52">
        <v>44410</v>
      </c>
      <c r="B52">
        <v>357.62</v>
      </c>
      <c r="C52">
        <v>302.06</v>
      </c>
      <c r="D52">
        <v>324.41000000000003</v>
      </c>
      <c r="E52">
        <v>322.66000000000003</v>
      </c>
      <c r="F52">
        <v>5.3944083104713325E-3</v>
      </c>
      <c r="G52">
        <v>-2.0352760316224794E-2</v>
      </c>
    </row>
    <row r="53" spans="1:7" x14ac:dyDescent="0.35">
      <c r="A53">
        <v>44411</v>
      </c>
      <c r="B53">
        <v>326.57</v>
      </c>
      <c r="C53">
        <v>291.7</v>
      </c>
      <c r="D53">
        <v>322.66000000000003</v>
      </c>
      <c r="E53">
        <v>299.23</v>
      </c>
      <c r="F53">
        <v>7.2615136676377645E-2</v>
      </c>
      <c r="G53">
        <v>3.8425265676036213E-2</v>
      </c>
    </row>
    <row r="54" spans="1:7" x14ac:dyDescent="0.35">
      <c r="A54">
        <v>44412</v>
      </c>
      <c r="B54">
        <v>352.98</v>
      </c>
      <c r="C54">
        <v>315.08999999999997</v>
      </c>
      <c r="D54">
        <v>299.23</v>
      </c>
      <c r="E54">
        <v>350.53</v>
      </c>
      <c r="F54">
        <v>-0.17144002940881586</v>
      </c>
      <c r="G54">
        <v>-8.6719214100892561E-2</v>
      </c>
    </row>
    <row r="55" spans="1:7" x14ac:dyDescent="0.35">
      <c r="A55">
        <v>44413</v>
      </c>
      <c r="B55">
        <v>381.66</v>
      </c>
      <c r="C55">
        <v>327.06</v>
      </c>
      <c r="D55">
        <v>350.53</v>
      </c>
      <c r="E55">
        <v>368.65</v>
      </c>
      <c r="F55">
        <v>-5.1693150372293495E-2</v>
      </c>
      <c r="G55">
        <v>-3.7975287263548818E-2</v>
      </c>
    </row>
    <row r="56" spans="1:7" x14ac:dyDescent="0.35">
      <c r="A56">
        <v>44414</v>
      </c>
      <c r="B56">
        <v>391.05</v>
      </c>
      <c r="C56">
        <v>334.36</v>
      </c>
      <c r="D56">
        <v>368.65</v>
      </c>
      <c r="E56">
        <v>344.77</v>
      </c>
      <c r="F56">
        <v>6.4776888647768871E-2</v>
      </c>
      <c r="G56">
        <v>-2.2313491656740458E-2</v>
      </c>
    </row>
    <row r="57" spans="1:7" x14ac:dyDescent="0.35">
      <c r="A57">
        <v>44415</v>
      </c>
      <c r="B57">
        <v>427.56</v>
      </c>
      <c r="C57">
        <v>373.8</v>
      </c>
      <c r="D57">
        <v>344.77</v>
      </c>
      <c r="E57">
        <v>394.04</v>
      </c>
      <c r="F57">
        <v>-0.14290686544652975</v>
      </c>
      <c r="G57">
        <v>-9.3373577286368192E-2</v>
      </c>
    </row>
    <row r="58" spans="1:7" x14ac:dyDescent="0.35">
      <c r="A58">
        <v>44416</v>
      </c>
      <c r="B58">
        <v>392.09</v>
      </c>
      <c r="C58">
        <v>350.5</v>
      </c>
      <c r="D58">
        <v>394.04</v>
      </c>
      <c r="E58">
        <v>359.84</v>
      </c>
      <c r="F58">
        <v>8.6793218962541996E-2</v>
      </c>
      <c r="G58">
        <v>4.7014479371875417E-2</v>
      </c>
    </row>
    <row r="59" spans="1:7" x14ac:dyDescent="0.35">
      <c r="A59">
        <v>44417</v>
      </c>
      <c r="B59">
        <v>406.69</v>
      </c>
      <c r="C59">
        <v>357.64</v>
      </c>
      <c r="D59">
        <v>359.84</v>
      </c>
      <c r="E59">
        <v>368.72</v>
      </c>
      <c r="F59">
        <v>-2.4677634504224333E-2</v>
      </c>
      <c r="G59">
        <v>-5.0166735794276329E-2</v>
      </c>
    </row>
    <row r="60" spans="1:7" x14ac:dyDescent="0.35">
      <c r="A60">
        <v>44418</v>
      </c>
      <c r="B60">
        <v>408.73</v>
      </c>
      <c r="C60">
        <v>354.69</v>
      </c>
      <c r="D60">
        <v>368.72</v>
      </c>
      <c r="E60">
        <v>402.45</v>
      </c>
      <c r="F60">
        <v>-9.1478628769798176E-2</v>
      </c>
      <c r="G60">
        <v>7.3524300618652561E-3</v>
      </c>
    </row>
    <row r="61" spans="1:7" x14ac:dyDescent="0.35">
      <c r="A61">
        <v>44419</v>
      </c>
      <c r="B61">
        <v>424.21</v>
      </c>
      <c r="C61">
        <v>364.74</v>
      </c>
      <c r="D61">
        <v>402.45</v>
      </c>
      <c r="E61">
        <v>402.07</v>
      </c>
      <c r="F61">
        <v>9.4421667287858391E-4</v>
      </c>
      <c r="G61">
        <v>-6.9230695776449913E-3</v>
      </c>
    </row>
    <row r="62" spans="1:7" x14ac:dyDescent="0.35">
      <c r="A62">
        <v>44420</v>
      </c>
      <c r="B62">
        <v>419.15</v>
      </c>
      <c r="C62">
        <v>345.83</v>
      </c>
      <c r="D62">
        <v>402.07</v>
      </c>
      <c r="E62">
        <v>355.7</v>
      </c>
      <c r="F62">
        <v>0.11532817668565176</v>
      </c>
      <c r="G62">
        <v>3.0681983423004211E-2</v>
      </c>
    </row>
    <row r="63" spans="1:7" x14ac:dyDescent="0.35">
      <c r="A63"/>
      <c r="B63"/>
      <c r="C63"/>
      <c r="D63"/>
      <c r="E63"/>
      <c r="F63"/>
      <c r="G63"/>
    </row>
    <row r="64" spans="1:7" x14ac:dyDescent="0.35">
      <c r="A64"/>
      <c r="B64"/>
      <c r="C64"/>
      <c r="D64"/>
      <c r="E64"/>
      <c r="F64"/>
      <c r="G64"/>
    </row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AppSettings</vt:lpstr>
      <vt:lpstr>Portfolio</vt:lpstr>
      <vt:lpstr>SymbolData</vt:lpstr>
      <vt:lpstr>ETH</vt:lpstr>
      <vt:lpstr>WBTC</vt:lpstr>
      <vt:lpstr>USDC</vt:lpstr>
      <vt:lpstr>DPI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krugman</dc:creator>
  <cp:lastModifiedBy>Dad</cp:lastModifiedBy>
  <dcterms:created xsi:type="dcterms:W3CDTF">2020-11-02T03:50:38Z</dcterms:created>
  <dcterms:modified xsi:type="dcterms:W3CDTF">2021-08-12T18:57:42Z</dcterms:modified>
</cp:coreProperties>
</file>